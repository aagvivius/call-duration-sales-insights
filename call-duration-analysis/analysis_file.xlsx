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10 Analisis de datos volumen y duracion de llamada\01 Proyecto AHT\04 Analisis\"/>
    </mc:Choice>
  </mc:AlternateContent>
  <xr:revisionPtr revIDLastSave="0" documentId="13_ncr:1_{A5DF0880-0DC7-4EEC-9780-B01AF2DA006A}" xr6:coauthVersionLast="47" xr6:coauthVersionMax="47" xr10:uidLastSave="{00000000-0000-0000-0000-000000000000}"/>
  <bookViews>
    <workbookView xWindow="-110" yWindow="-110" windowWidth="19420" windowHeight="10300" xr2:uid="{3D64959C-5A82-4CEB-B84A-B611F5E12842}"/>
  </bookViews>
  <sheets>
    <sheet name="Llamadas" sheetId="3" r:id="rId1"/>
    <sheet name="Vent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</calcChain>
</file>

<file path=xl/sharedStrings.xml><?xml version="1.0" encoding="utf-8"?>
<sst xmlns="http://schemas.openxmlformats.org/spreadsheetml/2006/main" count="91" uniqueCount="47">
  <si>
    <t>Registros</t>
  </si>
  <si>
    <t>Peso Registros</t>
  </si>
  <si>
    <t>Lineas de Negocio</t>
  </si>
  <si>
    <t>Grand Total</t>
  </si>
  <si>
    <t>Validacion Agente</t>
  </si>
  <si>
    <t>Disposición Venta</t>
  </si>
  <si>
    <t>Registro</t>
  </si>
  <si>
    <t>Peso Registro</t>
  </si>
  <si>
    <t>No</t>
  </si>
  <si>
    <t>Coincidencia Número Teléfono y Número de Cuenta</t>
  </si>
  <si>
    <t>Sin coincidencia</t>
  </si>
  <si>
    <t>Con coincidencia</t>
  </si>
  <si>
    <t>Coincidencia Llamada Venta</t>
  </si>
  <si>
    <t>Números</t>
  </si>
  <si>
    <t>Gran Total</t>
  </si>
  <si>
    <t>Conexión Validada</t>
  </si>
  <si>
    <t>Intento Fallido</t>
  </si>
  <si>
    <t>Linea Ocupada</t>
  </si>
  <si>
    <t>Cliente Cuelga</t>
  </si>
  <si>
    <t>No Contestada</t>
  </si>
  <si>
    <t>Conectada</t>
  </si>
  <si>
    <t>Número Equivocado</t>
  </si>
  <si>
    <t>Falla de línea</t>
  </si>
  <si>
    <t>Otras Líneas</t>
  </si>
  <si>
    <t>Agencia 1</t>
  </si>
  <si>
    <t>Agencia 2</t>
  </si>
  <si>
    <t>Energía Solar Interconectada</t>
  </si>
  <si>
    <t>Renovaciones Urbana</t>
  </si>
  <si>
    <t>Energía Eléctrica Urbana</t>
  </si>
  <si>
    <t>Energía Eléctrica Industrial</t>
  </si>
  <si>
    <t>Renovaciones Industrial</t>
  </si>
  <si>
    <t>Energía Solar No Interconectada</t>
  </si>
  <si>
    <t>Disposición Sistema
Gestion Llamadas</t>
  </si>
  <si>
    <t>Agencia</t>
  </si>
  <si>
    <t>Total</t>
  </si>
  <si>
    <t>Venta con depósito</t>
  </si>
  <si>
    <t>Venta sin depósito</t>
  </si>
  <si>
    <t>Renovación para instalación inmediata</t>
  </si>
  <si>
    <t>Renovación postfecha de instalación</t>
  </si>
  <si>
    <t>Cantidad de Veces
Repetido Venta</t>
  </si>
  <si>
    <t>No Registra</t>
  </si>
  <si>
    <t>Distribución Ventas</t>
  </si>
  <si>
    <t>Ventas</t>
  </si>
  <si>
    <t>No Ventas</t>
  </si>
  <si>
    <t>No cumple criterio</t>
  </si>
  <si>
    <t>Venta en riesgo potencial no pago</t>
  </si>
  <si>
    <t>Venta pendiente por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</si>
</sst>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10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8423-6242-4000-9BA5-8D8E683596E7}">
  <dimension ref="B2:D37"/>
  <sheetViews>
    <sheetView showGridLines="0" tabSelected="1" zoomScale="180" zoomScaleNormal="180" workbookViewId="0"/>
  </sheetViews>
  <sheetFormatPr defaultRowHeight="14.5" x14ac:dyDescent="0.35"/>
  <cols>
    <col min="2" max="2" width="27.1796875" style="5" bestFit="1" customWidth="1"/>
    <col min="3" max="3" width="8.90625" customWidth="1"/>
    <col min="4" max="4" width="8.6328125" bestFit="1" customWidth="1"/>
  </cols>
  <sheetData>
    <row r="2" spans="2:4" ht="29" x14ac:dyDescent="0.35">
      <c r="B2" s="20" t="s">
        <v>32</v>
      </c>
      <c r="C2" s="9" t="s">
        <v>0</v>
      </c>
      <c r="D2" s="9" t="s">
        <v>1</v>
      </c>
    </row>
    <row r="3" spans="2:4" x14ac:dyDescent="0.35">
      <c r="B3" s="19" t="s">
        <v>16</v>
      </c>
      <c r="C3" s="1">
        <v>7</v>
      </c>
      <c r="D3" s="3">
        <v>1.1475033605455559E-4</v>
      </c>
    </row>
    <row r="4" spans="2:4" x14ac:dyDescent="0.35">
      <c r="B4" s="19" t="s">
        <v>17</v>
      </c>
      <c r="C4" s="1">
        <v>2</v>
      </c>
      <c r="D4" s="3">
        <v>3.2785810301301594E-5</v>
      </c>
    </row>
    <row r="5" spans="2:4" x14ac:dyDescent="0.35">
      <c r="B5" s="19" t="s">
        <v>18</v>
      </c>
      <c r="C5" s="1">
        <v>2768</v>
      </c>
      <c r="D5" s="3">
        <v>4.5375561457001411E-2</v>
      </c>
    </row>
    <row r="6" spans="2:4" x14ac:dyDescent="0.35">
      <c r="B6" s="19" t="s">
        <v>19</v>
      </c>
      <c r="C6" s="1">
        <v>254</v>
      </c>
      <c r="D6" s="3">
        <v>4.1637979082653027E-3</v>
      </c>
    </row>
    <row r="7" spans="2:4" x14ac:dyDescent="0.35">
      <c r="B7" s="19" t="s">
        <v>20</v>
      </c>
      <c r="C7" s="1">
        <v>57941</v>
      </c>
      <c r="D7" s="3">
        <v>0.94982131733385788</v>
      </c>
    </row>
    <row r="8" spans="2:4" x14ac:dyDescent="0.35">
      <c r="B8" s="19" t="s">
        <v>21</v>
      </c>
      <c r="C8" s="1">
        <v>2</v>
      </c>
      <c r="D8" s="3">
        <v>3.2785810301301594E-5</v>
      </c>
    </row>
    <row r="9" spans="2:4" x14ac:dyDescent="0.35">
      <c r="B9" s="19" t="s">
        <v>22</v>
      </c>
      <c r="C9" s="1">
        <v>28</v>
      </c>
      <c r="D9" s="3">
        <v>4.5900134421822234E-4</v>
      </c>
    </row>
    <row r="10" spans="2:4" x14ac:dyDescent="0.35">
      <c r="B10" s="21" t="s">
        <v>34</v>
      </c>
      <c r="C10" s="13">
        <v>61002</v>
      </c>
      <c r="D10" s="14">
        <v>1</v>
      </c>
    </row>
    <row r="14" spans="2:4" x14ac:dyDescent="0.35">
      <c r="B14" s="22" t="s">
        <v>15</v>
      </c>
      <c r="C14" s="16"/>
      <c r="D14" s="16"/>
    </row>
    <row r="15" spans="2:4" ht="29" x14ac:dyDescent="0.35">
      <c r="B15" s="22" t="s">
        <v>33</v>
      </c>
      <c r="C15" s="9" t="s">
        <v>0</v>
      </c>
      <c r="D15" s="9" t="s">
        <v>1</v>
      </c>
    </row>
    <row r="16" spans="2:4" x14ac:dyDescent="0.35">
      <c r="B16" s="19" t="s">
        <v>24</v>
      </c>
      <c r="C16" s="1">
        <v>22133</v>
      </c>
      <c r="D16" s="4">
        <v>0.38200000000000001</v>
      </c>
    </row>
    <row r="17" spans="2:4" x14ac:dyDescent="0.35">
      <c r="B17" s="19" t="s">
        <v>25</v>
      </c>
      <c r="C17" s="1">
        <v>35808</v>
      </c>
      <c r="D17" s="4">
        <v>0.61799999999999999</v>
      </c>
    </row>
    <row r="18" spans="2:4" x14ac:dyDescent="0.35">
      <c r="B18" s="21" t="s">
        <v>34</v>
      </c>
      <c r="C18" s="13">
        <v>57941</v>
      </c>
      <c r="D18" s="18">
        <v>1</v>
      </c>
    </row>
    <row r="22" spans="2:4" ht="29" x14ac:dyDescent="0.35">
      <c r="B22" s="20" t="s">
        <v>4</v>
      </c>
      <c r="C22" s="9" t="s">
        <v>0</v>
      </c>
      <c r="D22" s="9" t="s">
        <v>1</v>
      </c>
    </row>
    <row r="23" spans="2:4" x14ac:dyDescent="0.35">
      <c r="B23" s="19" t="s">
        <v>24</v>
      </c>
      <c r="C23" s="1">
        <v>9517</v>
      </c>
      <c r="D23" s="4">
        <v>0.156</v>
      </c>
    </row>
    <row r="24" spans="2:4" x14ac:dyDescent="0.35">
      <c r="B24" s="19" t="s">
        <v>25</v>
      </c>
      <c r="C24" s="1">
        <v>51485</v>
      </c>
      <c r="D24" s="4">
        <v>0.84399999999999997</v>
      </c>
    </row>
    <row r="25" spans="2:4" x14ac:dyDescent="0.35">
      <c r="B25" s="21" t="s">
        <v>34</v>
      </c>
      <c r="C25" s="13">
        <v>61002</v>
      </c>
      <c r="D25" s="18">
        <v>1</v>
      </c>
    </row>
    <row r="29" spans="2:4" ht="29" x14ac:dyDescent="0.35">
      <c r="B29" s="22" t="s">
        <v>2</v>
      </c>
      <c r="C29" s="9" t="s">
        <v>0</v>
      </c>
      <c r="D29" s="9" t="s">
        <v>1</v>
      </c>
    </row>
    <row r="30" spans="2:4" x14ac:dyDescent="0.35">
      <c r="B30" s="19" t="s">
        <v>26</v>
      </c>
      <c r="C30" s="1">
        <v>1146</v>
      </c>
      <c r="D30" s="4">
        <v>3.200402144772118E-2</v>
      </c>
    </row>
    <row r="31" spans="2:4" x14ac:dyDescent="0.35">
      <c r="B31" s="19" t="s">
        <v>31</v>
      </c>
      <c r="C31" s="1">
        <v>896</v>
      </c>
      <c r="D31" s="4">
        <v>2.5022341376228777E-2</v>
      </c>
    </row>
    <row r="32" spans="2:4" x14ac:dyDescent="0.35">
      <c r="B32" s="19" t="s">
        <v>28</v>
      </c>
      <c r="C32" s="1">
        <v>9561</v>
      </c>
      <c r="D32" s="4">
        <v>0.26700737265415547</v>
      </c>
    </row>
    <row r="33" spans="2:4" x14ac:dyDescent="0.35">
      <c r="B33" s="19" t="s">
        <v>27</v>
      </c>
      <c r="C33" s="1">
        <v>7305</v>
      </c>
      <c r="D33" s="4">
        <v>0.20400469168900803</v>
      </c>
    </row>
    <row r="34" spans="2:4" x14ac:dyDescent="0.35">
      <c r="B34" s="19" t="s">
        <v>29</v>
      </c>
      <c r="C34" s="1">
        <v>6195</v>
      </c>
      <c r="D34" s="4">
        <v>0.17300603217158178</v>
      </c>
    </row>
    <row r="35" spans="2:4" x14ac:dyDescent="0.35">
      <c r="B35" s="19" t="s">
        <v>30</v>
      </c>
      <c r="C35" s="1">
        <v>4441</v>
      </c>
      <c r="D35" s="4">
        <v>0.12402256478999106</v>
      </c>
    </row>
    <row r="36" spans="2:4" x14ac:dyDescent="0.35">
      <c r="B36" s="19" t="s">
        <v>23</v>
      </c>
      <c r="C36" s="1">
        <v>6264</v>
      </c>
      <c r="D36" s="4">
        <v>0.17493297587131368</v>
      </c>
    </row>
    <row r="37" spans="2:4" x14ac:dyDescent="0.35">
      <c r="B37" s="21" t="s">
        <v>3</v>
      </c>
      <c r="C37" s="13">
        <v>35808</v>
      </c>
      <c r="D37" s="18">
        <v>1</v>
      </c>
    </row>
  </sheetData>
  <sheetProtection algorithmName="SHA-512" hashValue="GZGBQgYwO5jzvovn65gBlk+1FSE39Kt/ku7j6YvDyHKuBPPtIsVLtYFlILZbgizkBYbWXxAv6vQ1YOixr5UuYw==" saltValue="j8y9r28tsQCkGSb8/Ntx5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64B8-BEA0-4CBE-B175-AA3F62336403}">
  <dimension ref="B3:F58"/>
  <sheetViews>
    <sheetView showGridLines="0" zoomScale="170" zoomScaleNormal="170" workbookViewId="0"/>
  </sheetViews>
  <sheetFormatPr defaultRowHeight="14.5" x14ac:dyDescent="0.35"/>
  <cols>
    <col min="2" max="2" width="32.36328125" bestFit="1" customWidth="1"/>
    <col min="3" max="3" width="9.90625" bestFit="1" customWidth="1"/>
    <col min="4" max="4" width="13" bestFit="1" customWidth="1"/>
  </cols>
  <sheetData>
    <row r="3" spans="2:4" x14ac:dyDescent="0.35">
      <c r="B3" s="22" t="s">
        <v>5</v>
      </c>
      <c r="C3" s="9" t="s">
        <v>6</v>
      </c>
      <c r="D3" s="9" t="s">
        <v>7</v>
      </c>
    </row>
    <row r="4" spans="2:4" x14ac:dyDescent="0.35">
      <c r="B4" s="2" t="s">
        <v>8</v>
      </c>
      <c r="C4" s="1">
        <v>9277</v>
      </c>
      <c r="D4" s="3">
        <v>0.42613688562241619</v>
      </c>
    </row>
    <row r="5" spans="2:4" x14ac:dyDescent="0.35">
      <c r="B5" s="2" t="s">
        <v>35</v>
      </c>
      <c r="C5" s="1">
        <v>1595</v>
      </c>
      <c r="D5" s="3">
        <v>7.3265962333486451E-2</v>
      </c>
    </row>
    <row r="6" spans="2:4" x14ac:dyDescent="0.35">
      <c r="B6" s="2" t="s">
        <v>45</v>
      </c>
      <c r="C6" s="1">
        <v>12</v>
      </c>
      <c r="D6" s="3">
        <v>5.5121727147450618E-4</v>
      </c>
    </row>
    <row r="7" spans="2:4" x14ac:dyDescent="0.35">
      <c r="B7" s="2" t="s">
        <v>36</v>
      </c>
      <c r="C7" s="1">
        <v>5024</v>
      </c>
      <c r="D7" s="3">
        <v>0.2307762976573266</v>
      </c>
    </row>
    <row r="8" spans="2:4" x14ac:dyDescent="0.35">
      <c r="B8" s="2" t="s">
        <v>46</v>
      </c>
      <c r="C8" s="1">
        <v>785</v>
      </c>
      <c r="D8" s="3">
        <v>3.6058796508957283E-2</v>
      </c>
    </row>
    <row r="9" spans="2:4" x14ac:dyDescent="0.35">
      <c r="B9" s="2" t="s">
        <v>37</v>
      </c>
      <c r="C9" s="1">
        <v>1944</v>
      </c>
      <c r="D9" s="3">
        <v>8.9297197978870008E-2</v>
      </c>
    </row>
    <row r="10" spans="2:4" x14ac:dyDescent="0.35">
      <c r="B10" s="2" t="s">
        <v>38</v>
      </c>
      <c r="C10" s="1">
        <v>3133</v>
      </c>
      <c r="D10" s="3">
        <v>0.143913642627469</v>
      </c>
    </row>
    <row r="11" spans="2:4" x14ac:dyDescent="0.35">
      <c r="B11" s="17" t="s">
        <v>3</v>
      </c>
      <c r="C11" s="13">
        <v>21770</v>
      </c>
      <c r="D11" s="18">
        <v>1</v>
      </c>
    </row>
    <row r="12" spans="2:4" x14ac:dyDescent="0.35">
      <c r="C12" s="6"/>
      <c r="D12" s="7"/>
    </row>
    <row r="13" spans="2:4" x14ac:dyDescent="0.35">
      <c r="C13" s="6"/>
      <c r="D13" s="7"/>
    </row>
    <row r="14" spans="2:4" x14ac:dyDescent="0.35">
      <c r="B14" s="20" t="s">
        <v>41</v>
      </c>
      <c r="C14" s="9" t="s">
        <v>0</v>
      </c>
      <c r="D14" s="9" t="s">
        <v>1</v>
      </c>
    </row>
    <row r="15" spans="2:4" x14ac:dyDescent="0.35">
      <c r="B15" s="8" t="s">
        <v>42</v>
      </c>
      <c r="C15" s="1">
        <f>21770-C16</f>
        <v>12493</v>
      </c>
      <c r="D15" s="3">
        <v>0.98</v>
      </c>
    </row>
    <row r="16" spans="2:4" x14ac:dyDescent="0.35">
      <c r="B16" s="8" t="s">
        <v>43</v>
      </c>
      <c r="C16" s="1">
        <v>9277</v>
      </c>
      <c r="D16" s="3">
        <v>0.02</v>
      </c>
    </row>
    <row r="17" spans="2:5" x14ac:dyDescent="0.35">
      <c r="B17" s="12" t="s">
        <v>3</v>
      </c>
      <c r="C17" s="13">
        <v>21770</v>
      </c>
      <c r="D17" s="14">
        <v>1</v>
      </c>
    </row>
    <row r="19" spans="2:5" ht="29" x14ac:dyDescent="0.35">
      <c r="B19" s="20" t="s">
        <v>9</v>
      </c>
      <c r="C19" s="9" t="s">
        <v>0</v>
      </c>
      <c r="D19" s="9" t="s">
        <v>1</v>
      </c>
    </row>
    <row r="20" spans="2:5" x14ac:dyDescent="0.35">
      <c r="B20" s="8" t="s">
        <v>10</v>
      </c>
      <c r="C20" s="1">
        <v>12243</v>
      </c>
      <c r="D20" s="3">
        <v>0.98</v>
      </c>
    </row>
    <row r="21" spans="2:5" x14ac:dyDescent="0.35">
      <c r="B21" s="8" t="s">
        <v>11</v>
      </c>
      <c r="C21" s="1">
        <v>250</v>
      </c>
      <c r="D21" s="3">
        <v>0.02</v>
      </c>
    </row>
    <row r="22" spans="2:5" x14ac:dyDescent="0.35">
      <c r="B22" s="12" t="s">
        <v>3</v>
      </c>
      <c r="C22" s="13">
        <v>12493</v>
      </c>
      <c r="D22" s="14">
        <v>1</v>
      </c>
    </row>
    <row r="23" spans="2:5" x14ac:dyDescent="0.35">
      <c r="C23" s="1"/>
      <c r="D23" s="1"/>
    </row>
    <row r="24" spans="2:5" x14ac:dyDescent="0.35">
      <c r="C24" s="1"/>
      <c r="D24" s="1"/>
    </row>
    <row r="25" spans="2:5" x14ac:dyDescent="0.35">
      <c r="B25" s="20" t="s">
        <v>12</v>
      </c>
      <c r="C25" s="9" t="s">
        <v>0</v>
      </c>
      <c r="D25" s="9" t="s">
        <v>1</v>
      </c>
    </row>
    <row r="26" spans="2:5" x14ac:dyDescent="0.35">
      <c r="B26" s="8" t="s">
        <v>11</v>
      </c>
      <c r="C26" s="1">
        <v>7713</v>
      </c>
      <c r="D26" s="3">
        <v>0.61738573601216684</v>
      </c>
    </row>
    <row r="27" spans="2:5" x14ac:dyDescent="0.35">
      <c r="B27" s="8" t="s">
        <v>10</v>
      </c>
      <c r="C27" s="1">
        <v>4530</v>
      </c>
      <c r="D27" s="3">
        <v>0.36260305771231888</v>
      </c>
    </row>
    <row r="28" spans="2:5" x14ac:dyDescent="0.35">
      <c r="B28" s="8" t="s">
        <v>44</v>
      </c>
      <c r="C28" s="1">
        <v>250</v>
      </c>
      <c r="D28" s="3">
        <v>2.0011206275514289E-2</v>
      </c>
    </row>
    <row r="29" spans="2:5" x14ac:dyDescent="0.35">
      <c r="B29" s="12" t="s">
        <v>3</v>
      </c>
      <c r="C29" s="13">
        <v>12493</v>
      </c>
      <c r="D29" s="14">
        <v>1</v>
      </c>
    </row>
    <row r="32" spans="2:5" ht="29" x14ac:dyDescent="0.35">
      <c r="B32" s="9" t="s">
        <v>39</v>
      </c>
      <c r="C32" s="9" t="s">
        <v>0</v>
      </c>
      <c r="D32" s="9" t="s">
        <v>1</v>
      </c>
      <c r="E32" s="9" t="s">
        <v>13</v>
      </c>
    </row>
    <row r="33" spans="2:6" x14ac:dyDescent="0.35">
      <c r="B33" s="10">
        <v>0</v>
      </c>
      <c r="C33" s="1">
        <v>6940</v>
      </c>
      <c r="D33" s="23">
        <v>0.90003889537145076</v>
      </c>
      <c r="E33" s="11">
        <v>6940</v>
      </c>
    </row>
    <row r="34" spans="2:6" x14ac:dyDescent="0.35">
      <c r="B34" s="10">
        <v>1</v>
      </c>
      <c r="C34" s="1">
        <v>540</v>
      </c>
      <c r="D34" s="23">
        <v>7.0011668611435235E-2</v>
      </c>
      <c r="E34" s="11">
        <v>270</v>
      </c>
    </row>
    <row r="35" spans="2:6" x14ac:dyDescent="0.35">
      <c r="B35" s="10">
        <v>2</v>
      </c>
      <c r="C35" s="1">
        <v>153</v>
      </c>
      <c r="D35" s="23">
        <v>1.9966290678075975E-2</v>
      </c>
      <c r="E35" s="11">
        <v>51</v>
      </c>
    </row>
    <row r="36" spans="2:6" x14ac:dyDescent="0.35">
      <c r="B36" s="10">
        <v>3</v>
      </c>
      <c r="C36" s="1">
        <v>80</v>
      </c>
      <c r="D36" s="23">
        <v>9.9831453390379875E-3</v>
      </c>
      <c r="E36" s="11">
        <v>20</v>
      </c>
    </row>
    <row r="37" spans="2:6" x14ac:dyDescent="0.35">
      <c r="B37" s="12" t="s">
        <v>14</v>
      </c>
      <c r="C37" s="13">
        <v>7713</v>
      </c>
      <c r="D37" s="14">
        <v>1</v>
      </c>
      <c r="E37" s="15">
        <v>7281</v>
      </c>
    </row>
    <row r="40" spans="2:6" x14ac:dyDescent="0.35">
      <c r="B40" s="22" t="s">
        <v>2</v>
      </c>
      <c r="C40" s="9" t="s">
        <v>0</v>
      </c>
      <c r="D40" s="9" t="s">
        <v>1</v>
      </c>
    </row>
    <row r="41" spans="2:6" x14ac:dyDescent="0.35">
      <c r="B41" s="2" t="s">
        <v>40</v>
      </c>
      <c r="C41" s="10">
        <v>22</v>
      </c>
      <c r="D41" s="4">
        <v>3.0215629721192143E-3</v>
      </c>
    </row>
    <row r="42" spans="2:6" x14ac:dyDescent="0.35">
      <c r="B42" s="2" t="s">
        <v>26</v>
      </c>
      <c r="C42" s="10">
        <v>73</v>
      </c>
      <c r="D42" s="4">
        <v>1.0026095316577393E-2</v>
      </c>
    </row>
    <row r="43" spans="2:6" x14ac:dyDescent="0.35">
      <c r="B43" s="2" t="s">
        <v>31</v>
      </c>
      <c r="C43" s="10">
        <v>133</v>
      </c>
      <c r="D43" s="4">
        <v>1.8266721604175251E-2</v>
      </c>
    </row>
    <row r="44" spans="2:6" x14ac:dyDescent="0.35">
      <c r="B44" s="2" t="s">
        <v>29</v>
      </c>
      <c r="C44" s="10">
        <v>918</v>
      </c>
      <c r="D44" s="4">
        <v>0.12608158220024721</v>
      </c>
      <c r="F44" s="2"/>
    </row>
    <row r="45" spans="2:6" x14ac:dyDescent="0.35">
      <c r="B45" s="2" t="s">
        <v>30</v>
      </c>
      <c r="C45" s="10">
        <v>343</v>
      </c>
      <c r="D45" s="4">
        <v>4.7108913610767751E-2</v>
      </c>
      <c r="F45" s="2"/>
    </row>
    <row r="46" spans="2:6" x14ac:dyDescent="0.35">
      <c r="B46" s="2" t="s">
        <v>28</v>
      </c>
      <c r="C46" s="10">
        <v>3895</v>
      </c>
      <c r="D46" s="4">
        <v>0.53495398983656095</v>
      </c>
    </row>
    <row r="47" spans="2:6" x14ac:dyDescent="0.35">
      <c r="B47" s="2" t="s">
        <v>27</v>
      </c>
      <c r="C47" s="10">
        <v>1897</v>
      </c>
      <c r="D47" s="4">
        <v>0.26054113445955224</v>
      </c>
    </row>
    <row r="48" spans="2:6" x14ac:dyDescent="0.35">
      <c r="B48" s="17" t="s">
        <v>3</v>
      </c>
      <c r="C48" s="15">
        <v>7281</v>
      </c>
      <c r="D48" s="18">
        <v>1</v>
      </c>
    </row>
    <row r="51" spans="2:4" x14ac:dyDescent="0.35">
      <c r="B51" s="22" t="s">
        <v>2</v>
      </c>
      <c r="C51" s="9" t="s">
        <v>0</v>
      </c>
      <c r="D51" s="9" t="s">
        <v>1</v>
      </c>
    </row>
    <row r="52" spans="2:4" x14ac:dyDescent="0.35">
      <c r="B52" s="2" t="s">
        <v>26</v>
      </c>
      <c r="C52" s="1">
        <v>73</v>
      </c>
      <c r="D52" s="4">
        <v>1.0056481609037058E-2</v>
      </c>
    </row>
    <row r="53" spans="2:4" x14ac:dyDescent="0.35">
      <c r="B53" s="2" t="s">
        <v>31</v>
      </c>
      <c r="C53" s="1">
        <v>133</v>
      </c>
      <c r="D53" s="4">
        <v>1.8322082931533271E-2</v>
      </c>
    </row>
    <row r="54" spans="2:4" x14ac:dyDescent="0.35">
      <c r="B54" s="2" t="s">
        <v>29</v>
      </c>
      <c r="C54" s="1">
        <v>918</v>
      </c>
      <c r="D54" s="4">
        <v>0.12646370023419204</v>
      </c>
    </row>
    <row r="55" spans="2:4" x14ac:dyDescent="0.35">
      <c r="B55" s="2" t="s">
        <v>30</v>
      </c>
      <c r="C55" s="1">
        <v>343</v>
      </c>
      <c r="D55" s="4">
        <v>4.7251687560270011E-2</v>
      </c>
    </row>
    <row r="56" spans="2:4" x14ac:dyDescent="0.35">
      <c r="B56" s="2" t="s">
        <v>28</v>
      </c>
      <c r="C56" s="1">
        <v>3895</v>
      </c>
      <c r="D56" s="4">
        <v>0.53657528585204572</v>
      </c>
    </row>
    <row r="57" spans="2:4" x14ac:dyDescent="0.35">
      <c r="B57" s="2" t="s">
        <v>27</v>
      </c>
      <c r="C57" s="1">
        <v>1897</v>
      </c>
      <c r="D57" s="4">
        <v>0.26133076181292186</v>
      </c>
    </row>
    <row r="58" spans="2:4" x14ac:dyDescent="0.35">
      <c r="B58" s="17" t="s">
        <v>3</v>
      </c>
      <c r="C58" s="13">
        <v>7259</v>
      </c>
      <c r="D58" s="18">
        <v>1</v>
      </c>
    </row>
  </sheetData>
  <sheetProtection algorithmName="SHA-512" hashValue="680birDlFjJXmD5dP+QKIuvIhmBkNflhomiZ7ad+CnUugeDVt6MdkEuHTGf2LMO0Jq/pUUFswxqZR8uMA3iAZA==" saltValue="82IYwIXYGXrcXo2OTk5sI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Llamadas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Andrés Gutiérrez Vivius</dc:creator>
  <cp:lastModifiedBy>Alfredo Andrés Gutiérrez Vivius</cp:lastModifiedBy>
  <dcterms:created xsi:type="dcterms:W3CDTF">2026-04-10T21:08:10Z</dcterms:created>
  <dcterms:modified xsi:type="dcterms:W3CDTF">2026-05-12T20:19:01Z</dcterms:modified>
</cp:coreProperties>
</file>