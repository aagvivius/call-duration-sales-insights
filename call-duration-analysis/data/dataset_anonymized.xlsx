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0 Proyecto AHT\"/>
    </mc:Choice>
  </mc:AlternateContent>
  <xr:revisionPtr revIDLastSave="0" documentId="8_{FE4EBB07-52C0-4DAF-9FE6-28A6A5BA2474}" xr6:coauthVersionLast="47" xr6:coauthVersionMax="47" xr10:uidLastSave="{00000000-0000-0000-0000-000000000000}"/>
  <bookViews>
    <workbookView xWindow="-110" yWindow="-110" windowWidth="19420" windowHeight="10300" xr2:uid="{51258A54-3C9E-4664-8A28-FC28572740D3}"/>
  </bookViews>
  <sheets>
    <sheet name="Cruce_ventas_hora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T3" i="1"/>
  <c r="T4" i="1"/>
  <c r="T5" i="1"/>
  <c r="T6" i="1"/>
  <c r="T7" i="1"/>
  <c r="T8" i="1"/>
  <c r="T9" i="1"/>
  <c r="T10" i="1"/>
  <c r="S2" i="1"/>
  <c r="S3" i="1"/>
  <c r="S4" i="1"/>
  <c r="S5" i="1"/>
  <c r="S6" i="1"/>
  <c r="S7" i="1"/>
  <c r="S8" i="1"/>
  <c r="S9" i="1"/>
  <c r="S10" i="1"/>
  <c r="R2" i="1"/>
  <c r="R3" i="1"/>
  <c r="R4" i="1"/>
  <c r="R5" i="1"/>
  <c r="R6" i="1"/>
  <c r="R7" i="1"/>
  <c r="R8" i="1"/>
  <c r="R9" i="1"/>
  <c r="R10" i="1"/>
  <c r="I2" i="1"/>
  <c r="M2" i="1" s="1"/>
  <c r="I3" i="1"/>
  <c r="M3" i="1" s="1"/>
  <c r="I4" i="1"/>
  <c r="M4" i="1" s="1"/>
  <c r="I5" i="1"/>
  <c r="M5" i="1" s="1"/>
  <c r="I6" i="1"/>
  <c r="M6" i="1" s="1"/>
  <c r="I7" i="1"/>
  <c r="M7" i="1" s="1"/>
  <c r="I8" i="1"/>
  <c r="M8" i="1" s="1"/>
  <c r="I9" i="1"/>
  <c r="M9" i="1" s="1"/>
  <c r="I10" i="1"/>
  <c r="M10" i="1" s="1"/>
  <c r="Y10" i="1"/>
  <c r="L10" i="1"/>
  <c r="K10" i="1"/>
  <c r="J10" i="1"/>
  <c r="Y9" i="1"/>
  <c r="L9" i="1"/>
  <c r="K9" i="1"/>
  <c r="J9" i="1"/>
  <c r="Y8" i="1"/>
  <c r="L8" i="1"/>
  <c r="K8" i="1"/>
  <c r="J8" i="1"/>
  <c r="Y7" i="1"/>
  <c r="L7" i="1"/>
  <c r="K7" i="1"/>
  <c r="N7" i="1" s="1"/>
  <c r="J7" i="1"/>
  <c r="Y6" i="1"/>
  <c r="L6" i="1"/>
  <c r="K6" i="1"/>
  <c r="J6" i="1"/>
  <c r="Y5" i="1"/>
  <c r="L5" i="1"/>
  <c r="K5" i="1"/>
  <c r="N5" i="1" s="1"/>
  <c r="J5" i="1"/>
  <c r="Y4" i="1"/>
  <c r="L4" i="1"/>
  <c r="K4" i="1"/>
  <c r="J4" i="1"/>
  <c r="Y3" i="1"/>
  <c r="L3" i="1"/>
  <c r="K3" i="1"/>
  <c r="N3" i="1" s="1"/>
  <c r="J3" i="1"/>
  <c r="Y2" i="1"/>
  <c r="L2" i="1"/>
  <c r="K2" i="1"/>
  <c r="J2" i="1"/>
  <c r="P4" i="1" l="1"/>
  <c r="N10" i="1"/>
  <c r="N9" i="1"/>
  <c r="N8" i="1"/>
  <c r="N6" i="1"/>
  <c r="N4" i="1"/>
  <c r="N2" i="1"/>
  <c r="P10" i="1"/>
  <c r="P8" i="1"/>
  <c r="P6" i="1"/>
  <c r="P2" i="1"/>
  <c r="Q3" i="1"/>
  <c r="Q5" i="1"/>
  <c r="Q7" i="1"/>
  <c r="Q9" i="1"/>
  <c r="P3" i="1"/>
  <c r="P5" i="1"/>
  <c r="P7" i="1"/>
  <c r="P9" i="1"/>
  <c r="Q2" i="1"/>
  <c r="Q4" i="1"/>
  <c r="Q6" i="1"/>
  <c r="Q8" i="1"/>
  <c r="Q10" i="1"/>
  <c r="V10" i="1" l="1"/>
  <c r="W10" i="1" s="1"/>
  <c r="U9" i="1"/>
  <c r="V7" i="1"/>
  <c r="W7" i="1" s="1"/>
  <c r="U3" i="1"/>
  <c r="V5" i="1"/>
  <c r="W5" i="1" s="1"/>
  <c r="V4" i="1"/>
  <c r="W4" i="1" s="1"/>
  <c r="U8" i="1"/>
  <c r="U2" i="1"/>
  <c r="U5" i="1"/>
  <c r="U10" i="1" l="1"/>
  <c r="V9" i="1"/>
  <c r="W9" i="1" s="1"/>
  <c r="V8" i="1"/>
  <c r="W8" i="1" s="1"/>
  <c r="V2" i="1"/>
  <c r="W2" i="1" s="1"/>
  <c r="V3" i="1"/>
  <c r="W3" i="1" s="1"/>
  <c r="V6" i="1"/>
  <c r="W6" i="1" s="1"/>
  <c r="U7" i="1"/>
  <c r="U4" i="1"/>
  <c r="U6" i="1"/>
</calcChain>
</file>

<file path=xl/sharedStrings.xml><?xml version="1.0" encoding="utf-8"?>
<sst xmlns="http://schemas.openxmlformats.org/spreadsheetml/2006/main" count="88" uniqueCount="50">
  <si>
    <t>Date</t>
  </si>
  <si>
    <t>Agent</t>
  </si>
  <si>
    <t>PhoneNumber</t>
  </si>
  <si>
    <t>Queue</t>
  </si>
  <si>
    <t>RentalOrOwner</t>
  </si>
  <si>
    <t>Brand</t>
  </si>
  <si>
    <t>Sale Made</t>
  </si>
  <si>
    <t>AccountNumber</t>
  </si>
  <si>
    <t>ESIID</t>
  </si>
  <si>
    <t>Fecha</t>
  </si>
  <si>
    <t>Numero</t>
  </si>
  <si>
    <t>Numero_cuenta</t>
  </si>
  <si>
    <t>ESSID</t>
  </si>
  <si>
    <t>Match_Numero_Cuenta</t>
  </si>
  <si>
    <t>Usuario_ID_Roster</t>
  </si>
  <si>
    <t>Llave_agente_telefono_cuenta_ESSID</t>
  </si>
  <si>
    <t>Llave_fecha_telefono_agente</t>
  </si>
  <si>
    <t>Duracion_llamada</t>
  </si>
  <si>
    <t>Tiempo_espera_llamada</t>
  </si>
  <si>
    <t>Tiempo_despues_llamada</t>
  </si>
  <si>
    <t>Match_llamada_venta</t>
  </si>
  <si>
    <t>Tiempo_total</t>
  </si>
  <si>
    <t>Intervalo</t>
  </si>
  <si>
    <t>Tipo_venta</t>
  </si>
  <si>
    <t>Venta</t>
  </si>
  <si>
    <t>Sale</t>
  </si>
  <si>
    <t>HomeOwner</t>
  </si>
  <si>
    <t>YesDeposit</t>
  </si>
  <si>
    <t>Apartment</t>
  </si>
  <si>
    <t>Renewal</t>
  </si>
  <si>
    <t>Jhon Doe</t>
  </si>
  <si>
    <t>Martha Doe</t>
  </si>
  <si>
    <t>Nicholas Doe</t>
  </si>
  <si>
    <t>Richard Doe</t>
  </si>
  <si>
    <t>Anggie Doe</t>
  </si>
  <si>
    <t>Mike Doe</t>
  </si>
  <si>
    <t>Patricia Doe</t>
  </si>
  <si>
    <t>George Doe</t>
  </si>
  <si>
    <t>David doe</t>
  </si>
  <si>
    <t>Brand1</t>
  </si>
  <si>
    <t>Brand2</t>
  </si>
  <si>
    <t>jhondoe</t>
  </si>
  <si>
    <t>marthadoe</t>
  </si>
  <si>
    <t>nicholasdoe</t>
  </si>
  <si>
    <t>richarddoe</t>
  </si>
  <si>
    <t>anggiedoe</t>
  </si>
  <si>
    <t>mikedoe</t>
  </si>
  <si>
    <t>patriciadoe</t>
  </si>
  <si>
    <t>georgedoe</t>
  </si>
  <si>
    <t>daviddoe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</si>
</sst>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31">
    <dxf>
      <numFmt numFmtId="164" formatCode="hh:mm:ss;@"/>
      <alignment horizontal="center" vertical="center" textRotation="0" wrapText="0" indent="0" justifyLastLine="0" shrinkToFit="0" readingOrder="0"/>
    </dxf>
    <dxf>
      <numFmt numFmtId="164" formatCode="hh:mm:ss;@"/>
      <alignment horizontal="center" vertical="center" textRotation="0" wrapText="0" indent="0" justifyLastLine="0" shrinkToFit="0" readingOrder="0"/>
    </dxf>
    <dxf>
      <numFmt numFmtId="164" formatCode="hh:mm:ss;@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ck">
          <color auto="1"/>
        </right>
        <top/>
        <bottom/>
      </border>
    </dxf>
    <dxf>
      <numFmt numFmtId="165" formatCode="m/d/yyyy"/>
      <alignment horizontal="center" vertical="center" textRotation="0" wrapText="0" indent="0" justifyLastLine="0" shrinkToFit="0" readingOrder="0"/>
      <border diagonalUp="0" diagonalDown="0" outline="0">
        <left style="thick">
          <color auto="1"/>
        </left>
        <right/>
        <top/>
        <bottom/>
      </border>
    </dxf>
    <dxf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5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polabsolutions-my.sharepoint.com/personal/alfredo_gutierrez_bpolabsolutions_com/Documents/alfredo.gutierrez/Llamadas_Working_V2.xlsx" TargetMode="External"/><Relationship Id="rId1" Type="http://schemas.openxmlformats.org/officeDocument/2006/relationships/externalLinkPath" Target="https://bpolabsolutions-my.sharepoint.com/personal/alfredo_gutierrez_bpolabsolutions_com/Documents/alfredo.gutierrez/Llamadas_Working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oster"/>
      <sheetName val="Queue"/>
      <sheetName val="Call_data"/>
      <sheetName val="Sales_data"/>
      <sheetName val="Llamadas_Gexa_BPOLabs"/>
      <sheetName val="Ventas_Gexa_BPOLabs"/>
      <sheetName val="Cruce_Data_Set"/>
      <sheetName val="Venta_Llamada"/>
      <sheetName val="Telefono_repetido"/>
      <sheetName val="Cola_Ventas"/>
      <sheetName val="Data_Set"/>
      <sheetName val="Data_Set_ventas"/>
      <sheetName val="Data_renovaciones"/>
      <sheetName val="Ventas_hora"/>
      <sheetName val="Ventas_hora_si"/>
      <sheetName val="Ventas_hora_no"/>
      <sheetName val="Cruce_ventas_hora"/>
      <sheetName val="Percentiles"/>
      <sheetName val="Agentes"/>
      <sheetName val="Llamadas"/>
      <sheetName val="Ven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C3C80D-AEB4-4AE3-9A89-94266AB23C30}" name="Cruce_ventas_hora" displayName="Cruce_ventas_hora" ref="A1:Y10" totalsRowShown="0" headerRowDxfId="30" dataDxfId="29">
  <autoFilter ref="A1:Y10" xr:uid="{76BD3B0F-3C3E-4C8D-90DA-4E707E077568}"/>
  <tableColumns count="25">
    <tableColumn id="1" xr3:uid="{280339B7-FE1F-4BFA-A334-709288F9FAE9}" name="Date" dataDxfId="28"/>
    <tableColumn id="2" xr3:uid="{7EBEF339-FF78-475E-9FA9-45F3BCB63508}" name="Agent" dataDxfId="27"/>
    <tableColumn id="3" xr3:uid="{1318BC0A-F2D7-4F76-A6DC-FD6B8FC766F6}" name="PhoneNumber" dataDxfId="26"/>
    <tableColumn id="4" xr3:uid="{9508E7C8-FA21-4161-8B34-1E9B028C6D68}" name="Queue" dataDxfId="25"/>
    <tableColumn id="5" xr3:uid="{9EE05E97-A3F9-4B79-AD7B-258351518027}" name="RentalOrOwner" dataDxfId="24"/>
    <tableColumn id="6" xr3:uid="{4010D700-C28D-421E-80F2-266EB3818AB9}" name="Brand" dataDxfId="23"/>
    <tableColumn id="7" xr3:uid="{DABFE3C1-78CE-4C45-A614-CB27293F0FC1}" name="Sale Made" dataDxfId="22"/>
    <tableColumn id="8" xr3:uid="{AAFC75D8-78F6-4F1A-81A2-21887FF0EE75}" name="AccountNumber" dataDxfId="5"/>
    <tableColumn id="9" xr3:uid="{C706B437-4E77-49A8-80BA-E8B01F338446}" name="ESIID" dataDxfId="3">
      <calculatedColumnFormula>ROUNDUP(RAND(),10)*1000000000000</calculatedColumnFormula>
    </tableColumn>
    <tableColumn id="15" xr3:uid="{1E7CDAE2-CA7D-411F-9F04-6504AA84D145}" name="Fecha" dataDxfId="4">
      <calculatedColumnFormula>DATE(TEXT(A2,"yyyy"),TEXT(A2,"mm"),TEXT(A2,"dd"))</calculatedColumnFormula>
    </tableColumn>
    <tableColumn id="16" xr3:uid="{3698C7C9-95F8-4691-86D5-93F3171B8A33}" name="Numero" dataDxfId="21">
      <calculatedColumnFormula>_xlfn.NUMBERVALUE(Cruce_ventas_hora[[#This Row],[PhoneNumber]])</calculatedColumnFormula>
    </tableColumn>
    <tableColumn id="21" xr3:uid="{9F12180F-9C72-4E6D-B143-4859610817E1}" name="Numero_cuenta" dataDxfId="20">
      <calculatedColumnFormula>IF(ISNUMBER(Cruce_ventas_hora[[#This Row],[AccountNumber]]),_xlfn.NUMBERVALUE(Cruce_ventas_hora[[#This Row],[AccountNumber]]),Cruce_ventas_hora[[#This Row],[AccountNumber]])</calculatedColumnFormula>
    </tableColumn>
    <tableColumn id="22" xr3:uid="{0CD66014-132C-41EC-9913-CC5A022BF774}" name="ESSID" dataDxfId="19">
      <calculatedColumnFormula>IF(ISNUMBER(Cruce_ventas_hora[[#This Row],[ESIID]]),_xlfn.NUMBERVALUE(Cruce_ventas_hora[[#This Row],[ESIID]]),"Error")</calculatedColumnFormula>
    </tableColumn>
    <tableColumn id="10" xr3:uid="{6ABC483F-BF80-4727-89D3-E378AC9072C2}" name="Match_Numero_Cuenta" dataDxfId="18">
      <calculatedColumnFormula>IF(Cruce_ventas_hora[[#This Row],[Numero]]=Cruce_ventas_hora[[#This Row],[Numero_cuenta]],1,0)</calculatedColumnFormula>
    </tableColumn>
    <tableColumn id="11" xr3:uid="{9424029D-9386-4DBF-84FE-D53543F05AD2}" name="Usuario_ID_Roster" dataDxfId="17"/>
    <tableColumn id="12" xr3:uid="{5A48204A-B444-4187-8B7C-34D176272FAC}" name="Llave_agente_telefono_cuenta_ESSID" dataDxfId="16">
      <calculatedColumnFormula>CONCATENATE(Cruce_ventas_hora[[#This Row],[Usuario_ID_Roster]],Cruce_ventas_hora[[#This Row],[Numero]],Cruce_ventas_hora[[#This Row],[Numero_cuenta]],Cruce_ventas_hora[[#This Row],[ESSID]])</calculatedColumnFormula>
    </tableColumn>
    <tableColumn id="13" xr3:uid="{B6F0A9FC-B5A0-476D-AED2-73FD1B98F2AB}" name="Llave_fecha_telefono_agente" dataDxfId="15">
      <calculatedColumnFormula>CONCATENATE(Cruce_ventas_hora[[#This Row],[Fecha]],Cruce_ventas_hora[[#This Row],[Numero]],Cruce_ventas_hora[[#This Row],[Usuario_ID_Roster]])</calculatedColumnFormula>
    </tableColumn>
    <tableColumn id="14" xr3:uid="{C0228CEE-EFEB-4400-9B98-788D04B63F3F}" name="Duracion_llamada" dataDxfId="2">
      <calculatedColumnFormula>RAND()</calculatedColumnFormula>
    </tableColumn>
    <tableColumn id="17" xr3:uid="{233F397F-C6F4-42BF-AE82-9B9A1D0ABCEF}" name="Tiempo_espera_llamada" dataDxfId="1">
      <calculatedColumnFormula>RAND()</calculatedColumnFormula>
    </tableColumn>
    <tableColumn id="18" xr3:uid="{7906323D-CE0A-48B1-9940-E0DBCEFA58AC}" name="Tiempo_despues_llamada" dataDxfId="0">
      <calculatedColumnFormula>RAND()</calculatedColumnFormula>
    </tableColumn>
    <tableColumn id="19" xr3:uid="{D83670DD-A395-49B5-B3BD-6616CF15E840}" name="Match_llamada_venta" dataDxfId="14">
      <calculatedColumnFormula>IF(Cruce_ventas_hora[[#This Row],[Duracion_llamada]]="Error",1,0)</calculatedColumnFormula>
    </tableColumn>
    <tableColumn id="20" xr3:uid="{87C782B7-AFD7-4CA8-B3A9-0B5205C22898}" name="Tiempo_total" dataDxfId="13">
      <calculatedColumnFormula>IFERROR(HOUR(Cruce_ventas_hora[[#This Row],[Duracion_llamada]]+Cruce_ventas_hora[[#This Row],[Tiempo_espera_llamada]]+Cruce_ventas_hora[[#This Row],[Tiempo_despues_llamada]])*60+MINUTE(Cruce_ventas_hora[[#This Row],[Duracion_llamada]]+Cruce_ventas_hora[[#This Row],[Tiempo_espera_llamada]]+Cruce_ventas_hora[[#This Row],[Tiempo_despues_llamada]])+SECOND(Cruce_ventas_hora[[#This Row],[Duracion_llamada]]+Cruce_ventas_hora[[#This Row],[Tiempo_espera_llamada]]+Cruce_ventas_hora[[#This Row],[Tiempo_despues_llamada]])/60,"Error")</calculatedColumnFormula>
    </tableColumn>
    <tableColumn id="23" xr3:uid="{B0588723-C4A7-451A-9191-AD0DA26593A9}" name="Intervalo" dataDxfId="12">
      <calculatedColumnFormula>IFERROR(FLOOR(Cruce_ventas_hora[[#This Row],[Tiempo_total]],5),"Error")</calculatedColumnFormula>
    </tableColumn>
    <tableColumn id="24" xr3:uid="{741C1F2D-BAD5-4AAA-868E-EEB51FFD9C1E}" name="Tipo_venta" dataDxfId="11">
      <calculatedColumnFormula>IFERROR(_xlfn.XLOOKUP(Cruce_ventas_hora[[#This Row],[Llave_fecha_telefono_agente]],[1]Llamadas_Gexa_BPOLabs!BJ:BJ,[1]Llamadas_Gexa_BPOLabs!BI:BI),"Error")</calculatedColumnFormula>
    </tableColumn>
    <tableColumn id="25" xr3:uid="{15753834-41AF-409F-9446-28A3CD4B228F}" name="Venta" dataDxfId="10">
      <calculatedColumnFormula>IF(Cruce_ventas_hora[[#This Row],[Sale Made]]="No",1,0)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670C6-E02D-4DDA-873D-6BFA89BE5751}">
  <dimension ref="A1:Y1250"/>
  <sheetViews>
    <sheetView showGridLines="0" tabSelected="1" zoomScale="120" zoomScaleNormal="120" workbookViewId="0"/>
  </sheetViews>
  <sheetFormatPr defaultRowHeight="14.5" x14ac:dyDescent="0.35"/>
  <cols>
    <col min="1" max="1" width="10.08984375" style="1" bestFit="1" customWidth="1"/>
    <col min="2" max="2" width="20" style="1" bestFit="1" customWidth="1"/>
    <col min="3" max="3" width="18.7265625" style="1" bestFit="1" customWidth="1"/>
    <col min="4" max="4" width="14.7265625" style="1" bestFit="1" customWidth="1"/>
    <col min="5" max="5" width="28.1796875" style="1" bestFit="1" customWidth="1"/>
    <col min="6" max="6" width="10.7265625" style="1" bestFit="1" customWidth="1"/>
    <col min="7" max="7" width="28.81640625" style="1" bestFit="1" customWidth="1"/>
    <col min="8" max="8" width="26.7265625" style="1" bestFit="1" customWidth="1"/>
    <col min="9" max="9" width="23.453125" style="1" bestFit="1" customWidth="1"/>
    <col min="10" max="10" width="10.81640625" style="1" bestFit="1" customWidth="1"/>
    <col min="11" max="11" width="12.81640625" style="1" bestFit="1" customWidth="1"/>
    <col min="12" max="12" width="18.7265625" style="1" bestFit="1" customWidth="1"/>
    <col min="13" max="13" width="31.26953125" style="1" bestFit="1" customWidth="1"/>
    <col min="14" max="14" width="8.7265625" style="1"/>
    <col min="15" max="15" width="18.453125" style="1" bestFit="1" customWidth="1"/>
    <col min="16" max="16" width="57.6328125" style="1" bestFit="1" customWidth="1"/>
    <col min="17" max="17" width="27.54296875" style="1" bestFit="1" customWidth="1"/>
    <col min="18" max="18" width="18.453125" style="1" bestFit="1" customWidth="1"/>
    <col min="19" max="19" width="23.6328125" style="1" bestFit="1" customWidth="1"/>
    <col min="20" max="20" width="25.08984375" style="1" bestFit="1" customWidth="1"/>
    <col min="21" max="21" width="6.54296875" style="1" bestFit="1" customWidth="1"/>
    <col min="22" max="22" width="13.90625" style="1" bestFit="1" customWidth="1"/>
    <col min="23" max="23" width="10.453125" style="1" bestFit="1" customWidth="1"/>
    <col min="24" max="24" width="19" style="1" bestFit="1" customWidth="1"/>
    <col min="25" max="25" width="8.7265625" style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4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s="5">
        <v>45899</v>
      </c>
      <c r="B2" s="1" t="s">
        <v>30</v>
      </c>
      <c r="C2" s="1">
        <v>1234567891</v>
      </c>
      <c r="D2" s="1" t="s">
        <v>25</v>
      </c>
      <c r="E2" s="1" t="s">
        <v>26</v>
      </c>
      <c r="F2" s="1" t="s">
        <v>39</v>
      </c>
      <c r="G2" s="1" t="s">
        <v>27</v>
      </c>
      <c r="H2" s="1">
        <v>99989796</v>
      </c>
      <c r="I2" s="10">
        <f t="shared" ref="I2:I10" ca="1" si="0">ROUNDUP(RAND(),10)*1000000000000</f>
        <v>52105129800</v>
      </c>
      <c r="J2" s="6">
        <f t="shared" ref="J2:J10" si="1">DATE(TEXT(A2,"yyyy"),TEXT(A2,"mm"),TEXT(A2,"dd"))</f>
        <v>45899</v>
      </c>
      <c r="K2" s="1">
        <f>_xlfn.NUMBERVALUE(Cruce_ventas_hora[[#This Row],[PhoneNumber]])</f>
        <v>1234567891</v>
      </c>
      <c r="L2" s="1">
        <f>IF(ISNUMBER(Cruce_ventas_hora[[#This Row],[AccountNumber]]),_xlfn.NUMBERVALUE(Cruce_ventas_hora[[#This Row],[AccountNumber]]),Cruce_ventas_hora[[#This Row],[AccountNumber]])</f>
        <v>99989796</v>
      </c>
      <c r="M2" s="7">
        <f ca="1">IF(ISNUMBER(Cruce_ventas_hora[[#This Row],[ESIID]]),_xlfn.NUMBERVALUE(Cruce_ventas_hora[[#This Row],[ESIID]]),"Error")</f>
        <v>52105129800</v>
      </c>
      <c r="N2" s="1">
        <f>IF(Cruce_ventas_hora[[#This Row],[Numero]]=Cruce_ventas_hora[[#This Row],[Numero_cuenta]],1,0)</f>
        <v>0</v>
      </c>
      <c r="O2" s="1" t="s">
        <v>41</v>
      </c>
      <c r="P2" s="1" t="str">
        <f ca="1">CONCATENATE(Cruce_ventas_hora[[#This Row],[Usuario_ID_Roster]],Cruce_ventas_hora[[#This Row],[Numero]],Cruce_ventas_hora[[#This Row],[Numero_cuenta]],Cruce_ventas_hora[[#This Row],[ESSID]])</f>
        <v>jhondoe12345678919998979652105129800</v>
      </c>
      <c r="Q2" s="1" t="str">
        <f>CONCATENATE(Cruce_ventas_hora[[#This Row],[Fecha]],Cruce_ventas_hora[[#This Row],[Numero]],Cruce_ventas_hora[[#This Row],[Usuario_ID_Roster]])</f>
        <v>458991234567891jhondoe</v>
      </c>
      <c r="R2" s="8">
        <f t="shared" ref="R2:R10" ca="1" si="2">RAND()</f>
        <v>0.4132406796643926</v>
      </c>
      <c r="S2" s="8">
        <f t="shared" ref="S2:S10" ca="1" si="3">RAND()</f>
        <v>0.22740585587422601</v>
      </c>
      <c r="T2" s="8">
        <f t="shared" ref="T2:T10" ca="1" si="4">RAND()</f>
        <v>0.16795336387373472</v>
      </c>
      <c r="U2" s="1">
        <f ca="1">IF(Cruce_ventas_hora[[#This Row],[Duracion_llamada]]="Error",1,0)</f>
        <v>0</v>
      </c>
      <c r="V2" s="9">
        <f ca="1">IFERROR(HOUR(Cruce_ventas_hora[[#This Row],[Duracion_llamada]]+Cruce_ventas_hora[[#This Row],[Tiempo_espera_llamada]]+Cruce_ventas_hora[[#This Row],[Tiempo_despues_llamada]])*60+MINUTE(Cruce_ventas_hora[[#This Row],[Duracion_llamada]]+Cruce_ventas_hora[[#This Row],[Tiempo_espera_llamada]]+Cruce_ventas_hora[[#This Row],[Tiempo_despues_llamada]])+SECOND(Cruce_ventas_hora[[#This Row],[Duracion_llamada]]+Cruce_ventas_hora[[#This Row],[Tiempo_espera_llamada]]+Cruce_ventas_hora[[#This Row],[Tiempo_despues_llamada]])/60,"Error")</f>
        <v>1164.3833333333334</v>
      </c>
      <c r="W2" s="1">
        <f ca="1">IFERROR(FLOOR(Cruce_ventas_hora[[#This Row],[Tiempo_total]],5),"Error")</f>
        <v>1160</v>
      </c>
      <c r="X2" s="1" t="s">
        <v>25</v>
      </c>
      <c r="Y2" s="1">
        <f>IF(Cruce_ventas_hora[[#This Row],[Sale Made]]="No",1,0)</f>
        <v>0</v>
      </c>
    </row>
    <row r="3" spans="1:25" x14ac:dyDescent="0.35">
      <c r="A3" s="5">
        <v>45885</v>
      </c>
      <c r="B3" s="1" t="s">
        <v>31</v>
      </c>
      <c r="C3" s="1">
        <v>1011121314</v>
      </c>
      <c r="D3" s="1" t="s">
        <v>25</v>
      </c>
      <c r="E3" s="1" t="s">
        <v>26</v>
      </c>
      <c r="F3" s="1" t="s">
        <v>39</v>
      </c>
      <c r="G3" s="1" t="s">
        <v>27</v>
      </c>
      <c r="H3" s="1">
        <v>95949392</v>
      </c>
      <c r="I3" s="10">
        <f t="shared" ca="1" si="0"/>
        <v>215175854600.00003</v>
      </c>
      <c r="J3" s="6">
        <f t="shared" si="1"/>
        <v>45885</v>
      </c>
      <c r="K3" s="1">
        <f>_xlfn.NUMBERVALUE(Cruce_ventas_hora[[#This Row],[PhoneNumber]])</f>
        <v>1011121314</v>
      </c>
      <c r="L3" s="1">
        <f>IF(ISNUMBER(Cruce_ventas_hora[[#This Row],[AccountNumber]]),_xlfn.NUMBERVALUE(Cruce_ventas_hora[[#This Row],[AccountNumber]]),Cruce_ventas_hora[[#This Row],[AccountNumber]])</f>
        <v>95949392</v>
      </c>
      <c r="M3" s="7">
        <f ca="1">IF(ISNUMBER(Cruce_ventas_hora[[#This Row],[ESIID]]),_xlfn.NUMBERVALUE(Cruce_ventas_hora[[#This Row],[ESIID]]),"Error")</f>
        <v>215175854600</v>
      </c>
      <c r="N3" s="1">
        <f>IF(Cruce_ventas_hora[[#This Row],[Numero]]=Cruce_ventas_hora[[#This Row],[Numero_cuenta]],1,0)</f>
        <v>0</v>
      </c>
      <c r="O3" s="1" t="s">
        <v>42</v>
      </c>
      <c r="P3" s="1" t="str">
        <f ca="1">CONCATENATE(Cruce_ventas_hora[[#This Row],[Usuario_ID_Roster]],Cruce_ventas_hora[[#This Row],[Numero]],Cruce_ventas_hora[[#This Row],[Numero_cuenta]],Cruce_ventas_hora[[#This Row],[ESSID]])</f>
        <v>marthadoe101112131495949392215175854600</v>
      </c>
      <c r="Q3" s="1" t="str">
        <f>CONCATENATE(Cruce_ventas_hora[[#This Row],[Fecha]],Cruce_ventas_hora[[#This Row],[Numero]],Cruce_ventas_hora[[#This Row],[Usuario_ID_Roster]])</f>
        <v>458851011121314marthadoe</v>
      </c>
      <c r="R3" s="8">
        <f t="shared" ca="1" si="2"/>
        <v>0.82224438658955223</v>
      </c>
      <c r="S3" s="8">
        <f t="shared" ca="1" si="3"/>
        <v>0.13533704201986196</v>
      </c>
      <c r="T3" s="8">
        <f t="shared" ca="1" si="4"/>
        <v>0.63059201489264372</v>
      </c>
      <c r="U3" s="1">
        <f ca="1">IF(Cruce_ventas_hora[[#This Row],[Duracion_llamada]]="Error",1,0)</f>
        <v>0</v>
      </c>
      <c r="V3" s="9">
        <f ca="1">IFERROR(HOUR(Cruce_ventas_hora[[#This Row],[Duracion_llamada]]+Cruce_ventas_hora[[#This Row],[Tiempo_espera_llamada]]+Cruce_ventas_hora[[#This Row],[Tiempo_despues_llamada]])*60+MINUTE(Cruce_ventas_hora[[#This Row],[Duracion_llamada]]+Cruce_ventas_hora[[#This Row],[Tiempo_espera_llamada]]+Cruce_ventas_hora[[#This Row],[Tiempo_despues_llamada]])+SECOND(Cruce_ventas_hora[[#This Row],[Duracion_llamada]]+Cruce_ventas_hora[[#This Row],[Tiempo_espera_llamada]]+Cruce_ventas_hora[[#This Row],[Tiempo_despues_llamada]])/60,"Error")</f>
        <v>846.9666666666667</v>
      </c>
      <c r="W3" s="1">
        <f ca="1">IFERROR(FLOOR(Cruce_ventas_hora[[#This Row],[Tiempo_total]],5),"Error")</f>
        <v>845</v>
      </c>
      <c r="X3" s="1" t="s">
        <v>25</v>
      </c>
      <c r="Y3" s="1">
        <f>IF(Cruce_ventas_hora[[#This Row],[Sale Made]]="No",1,0)</f>
        <v>0</v>
      </c>
    </row>
    <row r="4" spans="1:25" x14ac:dyDescent="0.35">
      <c r="A4" s="5">
        <v>45877</v>
      </c>
      <c r="B4" s="1" t="s">
        <v>32</v>
      </c>
      <c r="C4" s="1">
        <v>1516171819</v>
      </c>
      <c r="D4" s="1" t="s">
        <v>25</v>
      </c>
      <c r="E4" s="1" t="s">
        <v>28</v>
      </c>
      <c r="F4" s="1" t="s">
        <v>39</v>
      </c>
      <c r="G4" s="1" t="s">
        <v>27</v>
      </c>
      <c r="H4" s="1">
        <v>91908988</v>
      </c>
      <c r="I4" s="10">
        <f t="shared" ca="1" si="0"/>
        <v>426797674500</v>
      </c>
      <c r="J4" s="6">
        <f t="shared" si="1"/>
        <v>45877</v>
      </c>
      <c r="K4" s="1">
        <f>_xlfn.NUMBERVALUE(Cruce_ventas_hora[[#This Row],[PhoneNumber]])</f>
        <v>1516171819</v>
      </c>
      <c r="L4" s="1">
        <f>IF(ISNUMBER(Cruce_ventas_hora[[#This Row],[AccountNumber]]),_xlfn.NUMBERVALUE(Cruce_ventas_hora[[#This Row],[AccountNumber]]),Cruce_ventas_hora[[#This Row],[AccountNumber]])</f>
        <v>91908988</v>
      </c>
      <c r="M4" s="7">
        <f ca="1">IF(ISNUMBER(Cruce_ventas_hora[[#This Row],[ESIID]]),_xlfn.NUMBERVALUE(Cruce_ventas_hora[[#This Row],[ESIID]]),"Error")</f>
        <v>426797674500</v>
      </c>
      <c r="N4" s="1">
        <f>IF(Cruce_ventas_hora[[#This Row],[Numero]]=Cruce_ventas_hora[[#This Row],[Numero_cuenta]],1,0)</f>
        <v>0</v>
      </c>
      <c r="O4" s="1" t="s">
        <v>43</v>
      </c>
      <c r="P4" s="1" t="str">
        <f ca="1">CONCATENATE(Cruce_ventas_hora[[#This Row],[Usuario_ID_Roster]],Cruce_ventas_hora[[#This Row],[Numero]],Cruce_ventas_hora[[#This Row],[Numero_cuenta]],Cruce_ventas_hora[[#This Row],[ESSID]])</f>
        <v>nicholasdoe151617181991908988426797674500</v>
      </c>
      <c r="Q4" s="1" t="str">
        <f>CONCATENATE(Cruce_ventas_hora[[#This Row],[Fecha]],Cruce_ventas_hora[[#This Row],[Numero]],Cruce_ventas_hora[[#This Row],[Usuario_ID_Roster]])</f>
        <v>458771516171819nicholasdoe</v>
      </c>
      <c r="R4" s="8">
        <f t="shared" ca="1" si="2"/>
        <v>0.6639733111885624</v>
      </c>
      <c r="S4" s="8">
        <f t="shared" ca="1" si="3"/>
        <v>0.28105994723144523</v>
      </c>
      <c r="T4" s="8">
        <f t="shared" ca="1" si="4"/>
        <v>0.95096259066233024</v>
      </c>
      <c r="U4" s="1">
        <f ca="1">IF(Cruce_ventas_hora[[#This Row],[Duracion_llamada]]="Error",1,0)</f>
        <v>0</v>
      </c>
      <c r="V4" s="9">
        <f ca="1">IFERROR(HOUR(Cruce_ventas_hora[[#This Row],[Duracion_llamada]]+Cruce_ventas_hora[[#This Row],[Tiempo_espera_llamada]]+Cruce_ventas_hora[[#This Row],[Tiempo_despues_llamada]])*60+MINUTE(Cruce_ventas_hora[[#This Row],[Duracion_llamada]]+Cruce_ventas_hora[[#This Row],[Tiempo_espera_llamada]]+Cruce_ventas_hora[[#This Row],[Tiempo_despues_llamada]])+SECOND(Cruce_ventas_hora[[#This Row],[Duracion_llamada]]+Cruce_ventas_hora[[#This Row],[Tiempo_espera_llamada]]+Cruce_ventas_hora[[#This Row],[Tiempo_despues_llamada]])/60,"Error")</f>
        <v>1290.2333333333333</v>
      </c>
      <c r="W4" s="1">
        <f ca="1">IFERROR(FLOOR(Cruce_ventas_hora[[#This Row],[Tiempo_total]],5),"Error")</f>
        <v>1290</v>
      </c>
      <c r="X4" s="1" t="s">
        <v>25</v>
      </c>
      <c r="Y4" s="1">
        <f>IF(Cruce_ventas_hora[[#This Row],[Sale Made]]="No",1,0)</f>
        <v>0</v>
      </c>
    </row>
    <row r="5" spans="1:25" x14ac:dyDescent="0.35">
      <c r="A5" s="5">
        <v>45873</v>
      </c>
      <c r="B5" s="1" t="s">
        <v>33</v>
      </c>
      <c r="C5" s="1">
        <v>2021222324</v>
      </c>
      <c r="D5" s="1" t="s">
        <v>25</v>
      </c>
      <c r="E5" s="1" t="s">
        <v>28</v>
      </c>
      <c r="F5" s="1" t="s">
        <v>39</v>
      </c>
      <c r="G5" s="1" t="s">
        <v>27</v>
      </c>
      <c r="H5" s="1">
        <v>87868584</v>
      </c>
      <c r="I5" s="10">
        <f t="shared" ca="1" si="0"/>
        <v>843240412600</v>
      </c>
      <c r="J5" s="6">
        <f t="shared" si="1"/>
        <v>45873</v>
      </c>
      <c r="K5" s="1">
        <f>_xlfn.NUMBERVALUE(Cruce_ventas_hora[[#This Row],[PhoneNumber]])</f>
        <v>2021222324</v>
      </c>
      <c r="L5" s="1">
        <f>IF(ISNUMBER(Cruce_ventas_hora[[#This Row],[AccountNumber]]),_xlfn.NUMBERVALUE(Cruce_ventas_hora[[#This Row],[AccountNumber]]),Cruce_ventas_hora[[#This Row],[AccountNumber]])</f>
        <v>87868584</v>
      </c>
      <c r="M5" s="7">
        <f ca="1">IF(ISNUMBER(Cruce_ventas_hora[[#This Row],[ESIID]]),_xlfn.NUMBERVALUE(Cruce_ventas_hora[[#This Row],[ESIID]]),"Error")</f>
        <v>843240412600</v>
      </c>
      <c r="N5" s="1">
        <f>IF(Cruce_ventas_hora[[#This Row],[Numero]]=Cruce_ventas_hora[[#This Row],[Numero_cuenta]],1,0)</f>
        <v>0</v>
      </c>
      <c r="O5" s="1" t="s">
        <v>44</v>
      </c>
      <c r="P5" s="1" t="str">
        <f ca="1">CONCATENATE(Cruce_ventas_hora[[#This Row],[Usuario_ID_Roster]],Cruce_ventas_hora[[#This Row],[Numero]],Cruce_ventas_hora[[#This Row],[Numero_cuenta]],Cruce_ventas_hora[[#This Row],[ESSID]])</f>
        <v>richarddoe202122232487868584843240412600</v>
      </c>
      <c r="Q5" s="1" t="str">
        <f>CONCATENATE(Cruce_ventas_hora[[#This Row],[Fecha]],Cruce_ventas_hora[[#This Row],[Numero]],Cruce_ventas_hora[[#This Row],[Usuario_ID_Roster]])</f>
        <v>458732021222324richarddoe</v>
      </c>
      <c r="R5" s="8">
        <f t="shared" ca="1" si="2"/>
        <v>0.6403996461324164</v>
      </c>
      <c r="S5" s="8">
        <f t="shared" ca="1" si="3"/>
        <v>0.87181789371193352</v>
      </c>
      <c r="T5" s="8">
        <f t="shared" ca="1" si="4"/>
        <v>0.69879869764254832</v>
      </c>
      <c r="U5" s="1">
        <f ca="1">IF(Cruce_ventas_hora[[#This Row],[Duracion_llamada]]="Error",1,0)</f>
        <v>0</v>
      </c>
      <c r="V5" s="9">
        <f ca="1">IFERROR(HOUR(Cruce_ventas_hora[[#This Row],[Duracion_llamada]]+Cruce_ventas_hora[[#This Row],[Tiempo_espera_llamada]]+Cruce_ventas_hora[[#This Row],[Tiempo_despues_llamada]])*60+MINUTE(Cruce_ventas_hora[[#This Row],[Duracion_llamada]]+Cruce_ventas_hora[[#This Row],[Tiempo_espera_llamada]]+Cruce_ventas_hora[[#This Row],[Tiempo_despues_llamada]])+SECOND(Cruce_ventas_hora[[#This Row],[Duracion_llamada]]+Cruce_ventas_hora[[#This Row],[Tiempo_espera_llamada]]+Cruce_ventas_hora[[#This Row],[Tiempo_despues_llamada]])/60,"Error")</f>
        <v>303.86666666666667</v>
      </c>
      <c r="W5" s="1">
        <f ca="1">IFERROR(FLOOR(Cruce_ventas_hora[[#This Row],[Tiempo_total]],5),"Error")</f>
        <v>300</v>
      </c>
      <c r="X5" s="1" t="s">
        <v>29</v>
      </c>
      <c r="Y5" s="1">
        <f>IF(Cruce_ventas_hora[[#This Row],[Sale Made]]="No",1,0)</f>
        <v>0</v>
      </c>
    </row>
    <row r="6" spans="1:25" x14ac:dyDescent="0.35">
      <c r="A6" s="5">
        <v>45897</v>
      </c>
      <c r="B6" s="1" t="s">
        <v>34</v>
      </c>
      <c r="C6" s="1">
        <v>2526272829</v>
      </c>
      <c r="D6" s="1" t="s">
        <v>25</v>
      </c>
      <c r="E6" s="1" t="s">
        <v>26</v>
      </c>
      <c r="F6" s="1" t="s">
        <v>39</v>
      </c>
      <c r="G6" s="1" t="s">
        <v>27</v>
      </c>
      <c r="H6" s="1">
        <v>83828180</v>
      </c>
      <c r="I6" s="10">
        <f t="shared" ca="1" si="0"/>
        <v>446238383600</v>
      </c>
      <c r="J6" s="6">
        <f t="shared" si="1"/>
        <v>45897</v>
      </c>
      <c r="K6" s="1">
        <f>_xlfn.NUMBERVALUE(Cruce_ventas_hora[[#This Row],[PhoneNumber]])</f>
        <v>2526272829</v>
      </c>
      <c r="L6" s="1">
        <f>IF(ISNUMBER(Cruce_ventas_hora[[#This Row],[AccountNumber]]),_xlfn.NUMBERVALUE(Cruce_ventas_hora[[#This Row],[AccountNumber]]),Cruce_ventas_hora[[#This Row],[AccountNumber]])</f>
        <v>83828180</v>
      </c>
      <c r="M6" s="7">
        <f ca="1">IF(ISNUMBER(Cruce_ventas_hora[[#This Row],[ESIID]]),_xlfn.NUMBERVALUE(Cruce_ventas_hora[[#This Row],[ESIID]]),"Error")</f>
        <v>446238383600</v>
      </c>
      <c r="N6" s="1">
        <f>IF(Cruce_ventas_hora[[#This Row],[Numero]]=Cruce_ventas_hora[[#This Row],[Numero_cuenta]],1,0)</f>
        <v>0</v>
      </c>
      <c r="O6" s="1" t="s">
        <v>45</v>
      </c>
      <c r="P6" s="1" t="str">
        <f ca="1">CONCATENATE(Cruce_ventas_hora[[#This Row],[Usuario_ID_Roster]],Cruce_ventas_hora[[#This Row],[Numero]],Cruce_ventas_hora[[#This Row],[Numero_cuenta]],Cruce_ventas_hora[[#This Row],[ESSID]])</f>
        <v>anggiedoe252627282983828180446238383600</v>
      </c>
      <c r="Q6" s="1" t="str">
        <f>CONCATENATE(Cruce_ventas_hora[[#This Row],[Fecha]],Cruce_ventas_hora[[#This Row],[Numero]],Cruce_ventas_hora[[#This Row],[Usuario_ID_Roster]])</f>
        <v>458972526272829anggiedoe</v>
      </c>
      <c r="R6" s="8">
        <f t="shared" ca="1" si="2"/>
        <v>0.95007379122545954</v>
      </c>
      <c r="S6" s="8">
        <f t="shared" ca="1" si="3"/>
        <v>0.41722049909701175</v>
      </c>
      <c r="T6" s="8">
        <f t="shared" ca="1" si="4"/>
        <v>0.95204683517064947</v>
      </c>
      <c r="U6" s="1">
        <f ca="1">IF(Cruce_ventas_hora[[#This Row],[Duracion_llamada]]="Error",1,0)</f>
        <v>0</v>
      </c>
      <c r="V6" s="9">
        <f ca="1">IFERROR(HOUR(Cruce_ventas_hora[[#This Row],[Duracion_llamada]]+Cruce_ventas_hora[[#This Row],[Tiempo_espera_llamada]]+Cruce_ventas_hora[[#This Row],[Tiempo_despues_llamada]])*60+MINUTE(Cruce_ventas_hora[[#This Row],[Duracion_llamada]]+Cruce_ventas_hora[[#This Row],[Tiempo_espera_llamada]]+Cruce_ventas_hora[[#This Row],[Tiempo_despues_llamada]])+SECOND(Cruce_ventas_hora[[#This Row],[Duracion_llamada]]+Cruce_ventas_hora[[#This Row],[Tiempo_espera_llamada]]+Cruce_ventas_hora[[#This Row],[Tiempo_despues_llamada]])/60,"Error")</f>
        <v>459.85</v>
      </c>
      <c r="W6" s="1">
        <f ca="1">IFERROR(FLOOR(Cruce_ventas_hora[[#This Row],[Tiempo_total]],5),"Error")</f>
        <v>455</v>
      </c>
      <c r="X6" s="1" t="s">
        <v>25</v>
      </c>
      <c r="Y6" s="1">
        <f>IF(Cruce_ventas_hora[[#This Row],[Sale Made]]="No",1,0)</f>
        <v>0</v>
      </c>
    </row>
    <row r="7" spans="1:25" x14ac:dyDescent="0.35">
      <c r="A7" s="5">
        <v>45887</v>
      </c>
      <c r="B7" s="1" t="s">
        <v>35</v>
      </c>
      <c r="C7" s="1">
        <v>3031323334</v>
      </c>
      <c r="D7" s="1" t="s">
        <v>25</v>
      </c>
      <c r="E7" s="1" t="s">
        <v>26</v>
      </c>
      <c r="F7" s="1" t="s">
        <v>40</v>
      </c>
      <c r="G7" s="1" t="s">
        <v>27</v>
      </c>
      <c r="H7" s="1">
        <v>79787776</v>
      </c>
      <c r="I7" s="10">
        <f t="shared" ca="1" si="0"/>
        <v>12890553300</v>
      </c>
      <c r="J7" s="6">
        <f t="shared" si="1"/>
        <v>45887</v>
      </c>
      <c r="K7" s="1">
        <f>_xlfn.NUMBERVALUE(Cruce_ventas_hora[[#This Row],[PhoneNumber]])</f>
        <v>3031323334</v>
      </c>
      <c r="L7" s="1">
        <f>IF(ISNUMBER(Cruce_ventas_hora[[#This Row],[AccountNumber]]),_xlfn.NUMBERVALUE(Cruce_ventas_hora[[#This Row],[AccountNumber]]),Cruce_ventas_hora[[#This Row],[AccountNumber]])</f>
        <v>79787776</v>
      </c>
      <c r="M7" s="7">
        <f ca="1">IF(ISNUMBER(Cruce_ventas_hora[[#This Row],[ESIID]]),_xlfn.NUMBERVALUE(Cruce_ventas_hora[[#This Row],[ESIID]]),"Error")</f>
        <v>12890553300</v>
      </c>
      <c r="N7" s="1">
        <f>IF(Cruce_ventas_hora[[#This Row],[Numero]]=Cruce_ventas_hora[[#This Row],[Numero_cuenta]],1,0)</f>
        <v>0</v>
      </c>
      <c r="O7" s="1" t="s">
        <v>46</v>
      </c>
      <c r="P7" s="1" t="str">
        <f ca="1">CONCATENATE(Cruce_ventas_hora[[#This Row],[Usuario_ID_Roster]],Cruce_ventas_hora[[#This Row],[Numero]],Cruce_ventas_hora[[#This Row],[Numero_cuenta]],Cruce_ventas_hora[[#This Row],[ESSID]])</f>
        <v>mikedoe30313233347978777612890553300</v>
      </c>
      <c r="Q7" s="1" t="str">
        <f>CONCATENATE(Cruce_ventas_hora[[#This Row],[Fecha]],Cruce_ventas_hora[[#This Row],[Numero]],Cruce_ventas_hora[[#This Row],[Usuario_ID_Roster]])</f>
        <v>458873031323334mikedoe</v>
      </c>
      <c r="R7" s="8">
        <f t="shared" ca="1" si="2"/>
        <v>7.6323468462559774E-2</v>
      </c>
      <c r="S7" s="8">
        <f t="shared" ca="1" si="3"/>
        <v>0.15178518052210277</v>
      </c>
      <c r="T7" s="8">
        <f t="shared" ca="1" si="4"/>
        <v>0.10222286414721082</v>
      </c>
      <c r="U7" s="1">
        <f ca="1">IF(Cruce_ventas_hora[[#This Row],[Duracion_llamada]]="Error",1,0)</f>
        <v>0</v>
      </c>
      <c r="V7" s="9">
        <f ca="1">IFERROR(HOUR(Cruce_ventas_hora[[#This Row],[Duracion_llamada]]+Cruce_ventas_hora[[#This Row],[Tiempo_espera_llamada]]+Cruce_ventas_hora[[#This Row],[Tiempo_despues_llamada]])*60+MINUTE(Cruce_ventas_hora[[#This Row],[Duracion_llamada]]+Cruce_ventas_hora[[#This Row],[Tiempo_espera_llamada]]+Cruce_ventas_hora[[#This Row],[Tiempo_despues_llamada]])+SECOND(Cruce_ventas_hora[[#This Row],[Duracion_llamada]]+Cruce_ventas_hora[[#This Row],[Tiempo_espera_llamada]]+Cruce_ventas_hora[[#This Row],[Tiempo_despues_llamada]])/60,"Error")</f>
        <v>475.68333333333334</v>
      </c>
      <c r="W7" s="1">
        <f ca="1">IFERROR(FLOOR(Cruce_ventas_hora[[#This Row],[Tiempo_total]],5),"Error")</f>
        <v>475</v>
      </c>
      <c r="X7" s="1" t="s">
        <v>25</v>
      </c>
      <c r="Y7" s="1">
        <f>IF(Cruce_ventas_hora[[#This Row],[Sale Made]]="No",1,0)</f>
        <v>0</v>
      </c>
    </row>
    <row r="8" spans="1:25" x14ac:dyDescent="0.35">
      <c r="A8" s="5">
        <v>45876</v>
      </c>
      <c r="B8" s="1" t="s">
        <v>36</v>
      </c>
      <c r="C8" s="1">
        <v>3536373839</v>
      </c>
      <c r="D8" s="1" t="s">
        <v>25</v>
      </c>
      <c r="E8" s="1" t="s">
        <v>26</v>
      </c>
      <c r="F8" s="1" t="s">
        <v>39</v>
      </c>
      <c r="G8" s="1" t="s">
        <v>27</v>
      </c>
      <c r="H8" s="1">
        <v>75747372</v>
      </c>
      <c r="I8" s="10">
        <f t="shared" ca="1" si="0"/>
        <v>388593047900</v>
      </c>
      <c r="J8" s="6">
        <f t="shared" si="1"/>
        <v>45876</v>
      </c>
      <c r="K8" s="1">
        <f>_xlfn.NUMBERVALUE(Cruce_ventas_hora[[#This Row],[PhoneNumber]])</f>
        <v>3536373839</v>
      </c>
      <c r="L8" s="1">
        <f>IF(ISNUMBER(Cruce_ventas_hora[[#This Row],[AccountNumber]]),_xlfn.NUMBERVALUE(Cruce_ventas_hora[[#This Row],[AccountNumber]]),Cruce_ventas_hora[[#This Row],[AccountNumber]])</f>
        <v>75747372</v>
      </c>
      <c r="M8" s="7">
        <f ca="1">IF(ISNUMBER(Cruce_ventas_hora[[#This Row],[ESIID]]),_xlfn.NUMBERVALUE(Cruce_ventas_hora[[#This Row],[ESIID]]),"Error")</f>
        <v>388593047900</v>
      </c>
      <c r="N8" s="1">
        <f>IF(Cruce_ventas_hora[[#This Row],[Numero]]=Cruce_ventas_hora[[#This Row],[Numero_cuenta]],1,0)</f>
        <v>0</v>
      </c>
      <c r="O8" s="1" t="s">
        <v>47</v>
      </c>
      <c r="P8" s="1" t="str">
        <f ca="1">CONCATENATE(Cruce_ventas_hora[[#This Row],[Usuario_ID_Roster]],Cruce_ventas_hora[[#This Row],[Numero]],Cruce_ventas_hora[[#This Row],[Numero_cuenta]],Cruce_ventas_hora[[#This Row],[ESSID]])</f>
        <v>patriciadoe353637383975747372388593047900</v>
      </c>
      <c r="Q8" s="1" t="str">
        <f>CONCATENATE(Cruce_ventas_hora[[#This Row],[Fecha]],Cruce_ventas_hora[[#This Row],[Numero]],Cruce_ventas_hora[[#This Row],[Usuario_ID_Roster]])</f>
        <v>458763536373839patriciadoe</v>
      </c>
      <c r="R8" s="8">
        <f t="shared" ca="1" si="2"/>
        <v>0.1971452163814772</v>
      </c>
      <c r="S8" s="8">
        <f t="shared" ca="1" si="3"/>
        <v>0.65928426697126163</v>
      </c>
      <c r="T8" s="8">
        <f t="shared" ca="1" si="4"/>
        <v>7.6847558165198171E-2</v>
      </c>
      <c r="U8" s="1">
        <f ca="1">IF(Cruce_ventas_hora[[#This Row],[Duracion_llamada]]="Error",1,0)</f>
        <v>0</v>
      </c>
      <c r="V8" s="9">
        <f ca="1">IFERROR(HOUR(Cruce_ventas_hora[[#This Row],[Duracion_llamada]]+Cruce_ventas_hora[[#This Row],[Tiempo_espera_llamada]]+Cruce_ventas_hora[[#This Row],[Tiempo_despues_llamada]])*60+MINUTE(Cruce_ventas_hora[[#This Row],[Duracion_llamada]]+Cruce_ventas_hora[[#This Row],[Tiempo_espera_llamada]]+Cruce_ventas_hora[[#This Row],[Tiempo_despues_llamada]])+SECOND(Cruce_ventas_hora[[#This Row],[Duracion_llamada]]+Cruce_ventas_hora[[#This Row],[Tiempo_espera_llamada]]+Cruce_ventas_hora[[#This Row],[Tiempo_despues_llamada]])/60,"Error")</f>
        <v>1343.9166666666667</v>
      </c>
      <c r="W8" s="1">
        <f ca="1">IFERROR(FLOOR(Cruce_ventas_hora[[#This Row],[Tiempo_total]],5),"Error")</f>
        <v>1340</v>
      </c>
      <c r="X8" s="1" t="s">
        <v>25</v>
      </c>
      <c r="Y8" s="1">
        <f>IF(Cruce_ventas_hora[[#This Row],[Sale Made]]="No",1,0)</f>
        <v>0</v>
      </c>
    </row>
    <row r="9" spans="1:25" x14ac:dyDescent="0.35">
      <c r="A9" s="5">
        <v>45875</v>
      </c>
      <c r="B9" s="1" t="s">
        <v>37</v>
      </c>
      <c r="C9" s="1">
        <v>4041424344</v>
      </c>
      <c r="D9" s="1" t="s">
        <v>25</v>
      </c>
      <c r="E9" s="1" t="s">
        <v>28</v>
      </c>
      <c r="F9" s="1" t="s">
        <v>39</v>
      </c>
      <c r="G9" s="1" t="s">
        <v>27</v>
      </c>
      <c r="H9" s="1">
        <v>71706968</v>
      </c>
      <c r="I9" s="10">
        <f t="shared" ca="1" si="0"/>
        <v>677405941700</v>
      </c>
      <c r="J9" s="6">
        <f t="shared" si="1"/>
        <v>45875</v>
      </c>
      <c r="K9" s="1">
        <f>_xlfn.NUMBERVALUE(Cruce_ventas_hora[[#This Row],[PhoneNumber]])</f>
        <v>4041424344</v>
      </c>
      <c r="L9" s="1">
        <f>IF(ISNUMBER(Cruce_ventas_hora[[#This Row],[AccountNumber]]),_xlfn.NUMBERVALUE(Cruce_ventas_hora[[#This Row],[AccountNumber]]),Cruce_ventas_hora[[#This Row],[AccountNumber]])</f>
        <v>71706968</v>
      </c>
      <c r="M9" s="7">
        <f ca="1">IF(ISNUMBER(Cruce_ventas_hora[[#This Row],[ESIID]]),_xlfn.NUMBERVALUE(Cruce_ventas_hora[[#This Row],[ESIID]]),"Error")</f>
        <v>677405941700</v>
      </c>
      <c r="N9" s="1">
        <f>IF(Cruce_ventas_hora[[#This Row],[Numero]]=Cruce_ventas_hora[[#This Row],[Numero_cuenta]],1,0)</f>
        <v>0</v>
      </c>
      <c r="O9" s="1" t="s">
        <v>48</v>
      </c>
      <c r="P9" s="1" t="str">
        <f ca="1">CONCATENATE(Cruce_ventas_hora[[#This Row],[Usuario_ID_Roster]],Cruce_ventas_hora[[#This Row],[Numero]],Cruce_ventas_hora[[#This Row],[Numero_cuenta]],Cruce_ventas_hora[[#This Row],[ESSID]])</f>
        <v>georgedoe404142434471706968677405941700</v>
      </c>
      <c r="Q9" s="1" t="str">
        <f>CONCATENATE(Cruce_ventas_hora[[#This Row],[Fecha]],Cruce_ventas_hora[[#This Row],[Numero]],Cruce_ventas_hora[[#This Row],[Usuario_ID_Roster]])</f>
        <v>458754041424344georgedoe</v>
      </c>
      <c r="R9" s="8">
        <f t="shared" ca="1" si="2"/>
        <v>0.84108882242210214</v>
      </c>
      <c r="S9" s="8">
        <f t="shared" ca="1" si="3"/>
        <v>0.56844372713070335</v>
      </c>
      <c r="T9" s="8">
        <f t="shared" ca="1" si="4"/>
        <v>0.73513418474125891</v>
      </c>
      <c r="U9" s="1">
        <f ca="1">IF(Cruce_ventas_hora[[#This Row],[Duracion_llamada]]="Error",1,0)</f>
        <v>0</v>
      </c>
      <c r="V9" s="9">
        <f ca="1">IFERROR(HOUR(Cruce_ventas_hora[[#This Row],[Duracion_llamada]]+Cruce_ventas_hora[[#This Row],[Tiempo_espera_llamada]]+Cruce_ventas_hora[[#This Row],[Tiempo_despues_llamada]])*60+MINUTE(Cruce_ventas_hora[[#This Row],[Duracion_llamada]]+Cruce_ventas_hora[[#This Row],[Tiempo_espera_llamada]]+Cruce_ventas_hora[[#This Row],[Tiempo_despues_llamada]])+SECOND(Cruce_ventas_hora[[#This Row],[Duracion_llamada]]+Cruce_ventas_hora[[#This Row],[Tiempo_espera_llamada]]+Cruce_ventas_hora[[#This Row],[Tiempo_despues_llamada]])/60,"Error")</f>
        <v>208.31666666666666</v>
      </c>
      <c r="W9" s="1">
        <f ca="1">IFERROR(FLOOR(Cruce_ventas_hora[[#This Row],[Tiempo_total]],5),"Error")</f>
        <v>205</v>
      </c>
      <c r="X9" s="1" t="s">
        <v>29</v>
      </c>
      <c r="Y9" s="1">
        <f>IF(Cruce_ventas_hora[[#This Row],[Sale Made]]="No",1,0)</f>
        <v>0</v>
      </c>
    </row>
    <row r="10" spans="1:25" x14ac:dyDescent="0.35">
      <c r="A10" s="5">
        <v>45870</v>
      </c>
      <c r="B10" s="1" t="s">
        <v>38</v>
      </c>
      <c r="C10" s="1">
        <v>4546474849</v>
      </c>
      <c r="D10" s="1" t="s">
        <v>25</v>
      </c>
      <c r="E10" s="1" t="s">
        <v>28</v>
      </c>
      <c r="F10" s="1" t="s">
        <v>39</v>
      </c>
      <c r="G10" s="1" t="s">
        <v>27</v>
      </c>
      <c r="H10" s="1">
        <v>67666564</v>
      </c>
      <c r="I10" s="10">
        <f t="shared" ca="1" si="0"/>
        <v>744552548000</v>
      </c>
      <c r="J10" s="6">
        <f t="shared" si="1"/>
        <v>45870</v>
      </c>
      <c r="K10" s="1">
        <f>_xlfn.NUMBERVALUE(Cruce_ventas_hora[[#This Row],[PhoneNumber]])</f>
        <v>4546474849</v>
      </c>
      <c r="L10" s="1">
        <f>IF(ISNUMBER(Cruce_ventas_hora[[#This Row],[AccountNumber]]),_xlfn.NUMBERVALUE(Cruce_ventas_hora[[#This Row],[AccountNumber]]),Cruce_ventas_hora[[#This Row],[AccountNumber]])</f>
        <v>67666564</v>
      </c>
      <c r="M10" s="7">
        <f ca="1">IF(ISNUMBER(Cruce_ventas_hora[[#This Row],[ESIID]]),_xlfn.NUMBERVALUE(Cruce_ventas_hora[[#This Row],[ESIID]]),"Error")</f>
        <v>744552548000</v>
      </c>
      <c r="N10" s="1">
        <f>IF(Cruce_ventas_hora[[#This Row],[Numero]]=Cruce_ventas_hora[[#This Row],[Numero_cuenta]],1,0)</f>
        <v>0</v>
      </c>
      <c r="O10" s="1" t="s">
        <v>49</v>
      </c>
      <c r="P10" s="1" t="str">
        <f ca="1">CONCATENATE(Cruce_ventas_hora[[#This Row],[Usuario_ID_Roster]],Cruce_ventas_hora[[#This Row],[Numero]],Cruce_ventas_hora[[#This Row],[Numero_cuenta]],Cruce_ventas_hora[[#This Row],[ESSID]])</f>
        <v>daviddoe454647484967666564744552548000</v>
      </c>
      <c r="Q10" s="1" t="str">
        <f>CONCATENATE(Cruce_ventas_hora[[#This Row],[Fecha]],Cruce_ventas_hora[[#This Row],[Numero]],Cruce_ventas_hora[[#This Row],[Usuario_ID_Roster]])</f>
        <v>458704546474849daviddoe</v>
      </c>
      <c r="R10" s="8">
        <f t="shared" ca="1" si="2"/>
        <v>0.21310461288322857</v>
      </c>
      <c r="S10" s="8">
        <f t="shared" ca="1" si="3"/>
        <v>0.80495869236134843</v>
      </c>
      <c r="T10" s="8">
        <f t="shared" ca="1" si="4"/>
        <v>0.21501963884841946</v>
      </c>
      <c r="U10" s="1">
        <f ca="1">IF(Cruce_ventas_hora[[#This Row],[Duracion_llamada]]="Error",1,0)</f>
        <v>0</v>
      </c>
      <c r="V10" s="9">
        <f ca="1">IFERROR(HOUR(Cruce_ventas_hora[[#This Row],[Duracion_llamada]]+Cruce_ventas_hora[[#This Row],[Tiempo_espera_llamada]]+Cruce_ventas_hora[[#This Row],[Tiempo_despues_llamada]])*60+MINUTE(Cruce_ventas_hora[[#This Row],[Duracion_llamada]]+Cruce_ventas_hora[[#This Row],[Tiempo_espera_llamada]]+Cruce_ventas_hora[[#This Row],[Tiempo_despues_llamada]])+SECOND(Cruce_ventas_hora[[#This Row],[Duracion_llamada]]+Cruce_ventas_hora[[#This Row],[Tiempo_espera_llamada]]+Cruce_ventas_hora[[#This Row],[Tiempo_despues_llamada]])/60,"Error")</f>
        <v>335.63333333333333</v>
      </c>
      <c r="W10" s="1">
        <f ca="1">IFERROR(FLOOR(Cruce_ventas_hora[[#This Row],[Tiempo_total]],5),"Error")</f>
        <v>335</v>
      </c>
      <c r="X10" s="1" t="s">
        <v>25</v>
      </c>
      <c r="Y10" s="1">
        <f>IF(Cruce_ventas_hora[[#This Row],[Sale Made]]="No",1,0)</f>
        <v>0</v>
      </c>
    </row>
    <row r="11" spans="1:25" x14ac:dyDescent="0.3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</row>
    <row r="12" spans="1:25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</row>
    <row r="13" spans="1:25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</row>
    <row r="14" spans="1:25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</row>
    <row r="15" spans="1:25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</row>
    <row r="16" spans="1:25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</row>
    <row r="17" customFormat="1" x14ac:dyDescent="0.35"/>
    <row r="18" customFormat="1" x14ac:dyDescent="0.35"/>
    <row r="19" customFormat="1" x14ac:dyDescent="0.35"/>
    <row r="20" customFormat="1" x14ac:dyDescent="0.35"/>
    <row r="21" customFormat="1" x14ac:dyDescent="0.35"/>
    <row r="22" customFormat="1" x14ac:dyDescent="0.35"/>
    <row r="23" customFormat="1" x14ac:dyDescent="0.35"/>
    <row r="24" customFormat="1" x14ac:dyDescent="0.35"/>
    <row r="25" customFormat="1" x14ac:dyDescent="0.35"/>
    <row r="26" customFormat="1" x14ac:dyDescent="0.35"/>
    <row r="27" customFormat="1" x14ac:dyDescent="0.35"/>
    <row r="28" customFormat="1" x14ac:dyDescent="0.35"/>
    <row r="29" customFormat="1" x14ac:dyDescent="0.35"/>
    <row r="30" customFormat="1" x14ac:dyDescent="0.35"/>
    <row r="31" customFormat="1" x14ac:dyDescent="0.35"/>
    <row r="32" customFormat="1" x14ac:dyDescent="0.35"/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  <row r="38" customFormat="1" x14ac:dyDescent="0.35"/>
    <row r="39" customFormat="1" x14ac:dyDescent="0.35"/>
    <row r="40" customFormat="1" x14ac:dyDescent="0.35"/>
    <row r="41" customFormat="1" x14ac:dyDescent="0.35"/>
    <row r="42" customFormat="1" x14ac:dyDescent="0.35"/>
    <row r="43" customFormat="1" x14ac:dyDescent="0.35"/>
    <row r="44" customFormat="1" x14ac:dyDescent="0.35"/>
    <row r="45" customFormat="1" x14ac:dyDescent="0.35"/>
    <row r="46" customFormat="1" x14ac:dyDescent="0.35"/>
    <row r="47" customFormat="1" x14ac:dyDescent="0.35"/>
    <row r="48" customFormat="1" x14ac:dyDescent="0.35"/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  <row r="70" customFormat="1" x14ac:dyDescent="0.35"/>
    <row r="71" customFormat="1" x14ac:dyDescent="0.35"/>
    <row r="72" customFormat="1" x14ac:dyDescent="0.35"/>
    <row r="73" customFormat="1" x14ac:dyDescent="0.35"/>
    <row r="74" customFormat="1" x14ac:dyDescent="0.35"/>
    <row r="75" customFormat="1" x14ac:dyDescent="0.35"/>
    <row r="76" customFormat="1" x14ac:dyDescent="0.35"/>
    <row r="77" customFormat="1" x14ac:dyDescent="0.35"/>
    <row r="78" customFormat="1" x14ac:dyDescent="0.35"/>
    <row r="79" customFormat="1" x14ac:dyDescent="0.35"/>
    <row r="80" customFormat="1" x14ac:dyDescent="0.35"/>
    <row r="81" customFormat="1" x14ac:dyDescent="0.35"/>
    <row r="82" customFormat="1" x14ac:dyDescent="0.35"/>
    <row r="83" customFormat="1" x14ac:dyDescent="0.35"/>
    <row r="84" customFormat="1" x14ac:dyDescent="0.35"/>
    <row r="85" customFormat="1" x14ac:dyDescent="0.35"/>
    <row r="86" customFormat="1" x14ac:dyDescent="0.35"/>
    <row r="87" customFormat="1" x14ac:dyDescent="0.35"/>
    <row r="88" customFormat="1" x14ac:dyDescent="0.35"/>
    <row r="89" customFormat="1" x14ac:dyDescent="0.35"/>
    <row r="90" customFormat="1" x14ac:dyDescent="0.35"/>
    <row r="91" customFormat="1" x14ac:dyDescent="0.35"/>
    <row r="92" customFormat="1" x14ac:dyDescent="0.35"/>
    <row r="93" customFormat="1" x14ac:dyDescent="0.35"/>
    <row r="94" customFormat="1" x14ac:dyDescent="0.35"/>
    <row r="95" customFormat="1" x14ac:dyDescent="0.35"/>
    <row r="96" customFormat="1" x14ac:dyDescent="0.35"/>
    <row r="97" customFormat="1" x14ac:dyDescent="0.35"/>
    <row r="98" customFormat="1" x14ac:dyDescent="0.35"/>
    <row r="99" customFormat="1" x14ac:dyDescent="0.35"/>
    <row r="100" customFormat="1" x14ac:dyDescent="0.35"/>
    <row r="101" customFormat="1" x14ac:dyDescent="0.35"/>
    <row r="102" customFormat="1" x14ac:dyDescent="0.35"/>
    <row r="103" customFormat="1" x14ac:dyDescent="0.35"/>
    <row r="104" customFormat="1" x14ac:dyDescent="0.35"/>
    <row r="105" customFormat="1" x14ac:dyDescent="0.35"/>
    <row r="106" customFormat="1" x14ac:dyDescent="0.35"/>
    <row r="107" customFormat="1" x14ac:dyDescent="0.35"/>
    <row r="108" customFormat="1" x14ac:dyDescent="0.35"/>
    <row r="109" customFormat="1" x14ac:dyDescent="0.35"/>
    <row r="110" customFormat="1" x14ac:dyDescent="0.35"/>
    <row r="111" customFormat="1" x14ac:dyDescent="0.35"/>
    <row r="112" customFormat="1" x14ac:dyDescent="0.35"/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  <row r="125" customFormat="1" x14ac:dyDescent="0.35"/>
    <row r="126" customFormat="1" x14ac:dyDescent="0.35"/>
    <row r="127" customFormat="1" x14ac:dyDescent="0.35"/>
    <row r="128" customFormat="1" x14ac:dyDescent="0.35"/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  <row r="135" customFormat="1" x14ac:dyDescent="0.35"/>
    <row r="136" customFormat="1" x14ac:dyDescent="0.35"/>
    <row r="137" customFormat="1" x14ac:dyDescent="0.35"/>
    <row r="138" customFormat="1" x14ac:dyDescent="0.35"/>
    <row r="139" customFormat="1" x14ac:dyDescent="0.35"/>
    <row r="140" customFormat="1" x14ac:dyDescent="0.35"/>
    <row r="141" customFormat="1" x14ac:dyDescent="0.35"/>
    <row r="142" customFormat="1" x14ac:dyDescent="0.35"/>
    <row r="143" customFormat="1" x14ac:dyDescent="0.35"/>
    <row r="144" customFormat="1" x14ac:dyDescent="0.35"/>
    <row r="145" customFormat="1" x14ac:dyDescent="0.35"/>
    <row r="146" customFormat="1" x14ac:dyDescent="0.35"/>
    <row r="147" customFormat="1" x14ac:dyDescent="0.35"/>
    <row r="148" customFormat="1" x14ac:dyDescent="0.35"/>
    <row r="149" customFormat="1" x14ac:dyDescent="0.35"/>
    <row r="150" customFormat="1" x14ac:dyDescent="0.35"/>
    <row r="151" customFormat="1" x14ac:dyDescent="0.35"/>
    <row r="152" customFormat="1" x14ac:dyDescent="0.35"/>
    <row r="153" customFormat="1" x14ac:dyDescent="0.35"/>
    <row r="154" customFormat="1" x14ac:dyDescent="0.35"/>
    <row r="155" customFormat="1" x14ac:dyDescent="0.35"/>
    <row r="156" customFormat="1" x14ac:dyDescent="0.35"/>
    <row r="157" customFormat="1" x14ac:dyDescent="0.35"/>
    <row r="158" customFormat="1" x14ac:dyDescent="0.35"/>
    <row r="159" customFormat="1" x14ac:dyDescent="0.35"/>
    <row r="160" customFormat="1" x14ac:dyDescent="0.35"/>
    <row r="161" customFormat="1" x14ac:dyDescent="0.35"/>
    <row r="162" customFormat="1" x14ac:dyDescent="0.35"/>
    <row r="163" customFormat="1" x14ac:dyDescent="0.35"/>
    <row r="164" customFormat="1" x14ac:dyDescent="0.35"/>
    <row r="165" customFormat="1" x14ac:dyDescent="0.35"/>
    <row r="166" customFormat="1" x14ac:dyDescent="0.35"/>
    <row r="167" customFormat="1" x14ac:dyDescent="0.35"/>
    <row r="168" customFormat="1" x14ac:dyDescent="0.35"/>
    <row r="169" customFormat="1" x14ac:dyDescent="0.35"/>
    <row r="170" customFormat="1" x14ac:dyDescent="0.35"/>
    <row r="171" customFormat="1" x14ac:dyDescent="0.35"/>
    <row r="172" customFormat="1" x14ac:dyDescent="0.35"/>
    <row r="173" customFormat="1" x14ac:dyDescent="0.35"/>
    <row r="174" customFormat="1" x14ac:dyDescent="0.35"/>
    <row r="175" customFormat="1" x14ac:dyDescent="0.35"/>
    <row r="176" customFormat="1" x14ac:dyDescent="0.35"/>
    <row r="177" customFormat="1" x14ac:dyDescent="0.35"/>
    <row r="178" customFormat="1" x14ac:dyDescent="0.35"/>
    <row r="179" customFormat="1" x14ac:dyDescent="0.35"/>
    <row r="180" customFormat="1" x14ac:dyDescent="0.35"/>
    <row r="181" customFormat="1" x14ac:dyDescent="0.35"/>
    <row r="182" customFormat="1" x14ac:dyDescent="0.35"/>
    <row r="183" customFormat="1" x14ac:dyDescent="0.35"/>
    <row r="184" customFormat="1" x14ac:dyDescent="0.35"/>
    <row r="185" customFormat="1" x14ac:dyDescent="0.35"/>
    <row r="186" customFormat="1" x14ac:dyDescent="0.35"/>
    <row r="187" customFormat="1" x14ac:dyDescent="0.35"/>
    <row r="188" customFormat="1" x14ac:dyDescent="0.35"/>
    <row r="189" customFormat="1" x14ac:dyDescent="0.35"/>
    <row r="190" customFormat="1" x14ac:dyDescent="0.35"/>
    <row r="191" customFormat="1" x14ac:dyDescent="0.35"/>
    <row r="192" customFormat="1" x14ac:dyDescent="0.35"/>
    <row r="193" customFormat="1" x14ac:dyDescent="0.35"/>
    <row r="194" customFormat="1" x14ac:dyDescent="0.35"/>
    <row r="195" customFormat="1" x14ac:dyDescent="0.35"/>
    <row r="196" customFormat="1" x14ac:dyDescent="0.35"/>
    <row r="197" customFormat="1" x14ac:dyDescent="0.35"/>
    <row r="198" customFormat="1" x14ac:dyDescent="0.35"/>
    <row r="199" customFormat="1" x14ac:dyDescent="0.35"/>
    <row r="200" customFormat="1" x14ac:dyDescent="0.35"/>
    <row r="201" customFormat="1" x14ac:dyDescent="0.35"/>
    <row r="202" customFormat="1" x14ac:dyDescent="0.35"/>
    <row r="203" customFormat="1" x14ac:dyDescent="0.35"/>
    <row r="204" customFormat="1" x14ac:dyDescent="0.35"/>
    <row r="205" customFormat="1" x14ac:dyDescent="0.35"/>
    <row r="206" customFormat="1" x14ac:dyDescent="0.35"/>
    <row r="207" customFormat="1" x14ac:dyDescent="0.35"/>
    <row r="208" customFormat="1" x14ac:dyDescent="0.35"/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  <row r="221" customFormat="1" x14ac:dyDescent="0.35"/>
    <row r="222" customFormat="1" x14ac:dyDescent="0.35"/>
    <row r="223" customFormat="1" x14ac:dyDescent="0.35"/>
    <row r="224" customFormat="1" x14ac:dyDescent="0.35"/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  <row r="237" customFormat="1" x14ac:dyDescent="0.35"/>
    <row r="238" customFormat="1" x14ac:dyDescent="0.35"/>
    <row r="239" customFormat="1" x14ac:dyDescent="0.35"/>
    <row r="240" customFormat="1" x14ac:dyDescent="0.35"/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  <row r="247" customFormat="1" x14ac:dyDescent="0.35"/>
    <row r="248" customFormat="1" x14ac:dyDescent="0.35"/>
    <row r="249" customFormat="1" x14ac:dyDescent="0.35"/>
    <row r="250" customFormat="1" x14ac:dyDescent="0.35"/>
    <row r="251" customFormat="1" x14ac:dyDescent="0.35"/>
    <row r="252" customFormat="1" x14ac:dyDescent="0.35"/>
    <row r="253" customFormat="1" x14ac:dyDescent="0.35"/>
    <row r="254" customFormat="1" x14ac:dyDescent="0.35"/>
    <row r="255" customFormat="1" x14ac:dyDescent="0.35"/>
    <row r="256" customFormat="1" x14ac:dyDescent="0.35"/>
    <row r="257" customFormat="1" x14ac:dyDescent="0.35"/>
    <row r="258" customFormat="1" x14ac:dyDescent="0.35"/>
    <row r="259" customFormat="1" x14ac:dyDescent="0.35"/>
    <row r="260" customFormat="1" x14ac:dyDescent="0.35"/>
    <row r="261" customFormat="1" x14ac:dyDescent="0.35"/>
    <row r="262" customFormat="1" x14ac:dyDescent="0.35"/>
    <row r="263" customFormat="1" x14ac:dyDescent="0.35"/>
    <row r="264" customFormat="1" x14ac:dyDescent="0.35"/>
    <row r="265" customFormat="1" x14ac:dyDescent="0.35"/>
    <row r="266" customFormat="1" x14ac:dyDescent="0.35"/>
    <row r="267" customFormat="1" x14ac:dyDescent="0.35"/>
    <row r="268" customFormat="1" x14ac:dyDescent="0.35"/>
    <row r="269" customFormat="1" x14ac:dyDescent="0.35"/>
    <row r="270" customFormat="1" x14ac:dyDescent="0.35"/>
    <row r="271" customFormat="1" x14ac:dyDescent="0.35"/>
    <row r="272" customFormat="1" x14ac:dyDescent="0.35"/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  <row r="282" customFormat="1" x14ac:dyDescent="0.35"/>
    <row r="283" customFormat="1" x14ac:dyDescent="0.35"/>
    <row r="284" customFormat="1" x14ac:dyDescent="0.35"/>
    <row r="285" customFormat="1" x14ac:dyDescent="0.35"/>
    <row r="286" customFormat="1" x14ac:dyDescent="0.35"/>
    <row r="287" customFormat="1" x14ac:dyDescent="0.35"/>
    <row r="288" customFormat="1" x14ac:dyDescent="0.35"/>
    <row r="289" customFormat="1" x14ac:dyDescent="0.35"/>
    <row r="290" customFormat="1" x14ac:dyDescent="0.35"/>
    <row r="291" customFormat="1" x14ac:dyDescent="0.35"/>
    <row r="292" customFormat="1" x14ac:dyDescent="0.35"/>
    <row r="293" customFormat="1" x14ac:dyDescent="0.35"/>
    <row r="294" customFormat="1" x14ac:dyDescent="0.35"/>
    <row r="295" customFormat="1" x14ac:dyDescent="0.35"/>
    <row r="296" customFormat="1" x14ac:dyDescent="0.35"/>
    <row r="297" customFormat="1" x14ac:dyDescent="0.35"/>
    <row r="298" customFormat="1" x14ac:dyDescent="0.35"/>
    <row r="299" customFormat="1" x14ac:dyDescent="0.35"/>
    <row r="300" customFormat="1" x14ac:dyDescent="0.35"/>
    <row r="301" customFormat="1" x14ac:dyDescent="0.35"/>
    <row r="302" customFormat="1" x14ac:dyDescent="0.35"/>
    <row r="303" customFormat="1" x14ac:dyDescent="0.35"/>
    <row r="304" customFormat="1" x14ac:dyDescent="0.35"/>
    <row r="305" customFormat="1" x14ac:dyDescent="0.35"/>
    <row r="306" customFormat="1" x14ac:dyDescent="0.35"/>
    <row r="307" customFormat="1" x14ac:dyDescent="0.35"/>
    <row r="308" customFormat="1" x14ac:dyDescent="0.35"/>
    <row r="309" customFormat="1" x14ac:dyDescent="0.35"/>
    <row r="310" customFormat="1" x14ac:dyDescent="0.35"/>
    <row r="311" customFormat="1" x14ac:dyDescent="0.35"/>
    <row r="312" customFormat="1" x14ac:dyDescent="0.35"/>
    <row r="313" customFormat="1" x14ac:dyDescent="0.35"/>
    <row r="314" customFormat="1" x14ac:dyDescent="0.35"/>
    <row r="315" customFormat="1" x14ac:dyDescent="0.35"/>
    <row r="316" customFormat="1" x14ac:dyDescent="0.35"/>
    <row r="317" customFormat="1" x14ac:dyDescent="0.35"/>
    <row r="318" customFormat="1" x14ac:dyDescent="0.35"/>
    <row r="319" customFormat="1" x14ac:dyDescent="0.35"/>
    <row r="320" customFormat="1" x14ac:dyDescent="0.35"/>
    <row r="321" customFormat="1" x14ac:dyDescent="0.35"/>
    <row r="322" customFormat="1" x14ac:dyDescent="0.35"/>
    <row r="323" customFormat="1" x14ac:dyDescent="0.35"/>
    <row r="324" customFormat="1" x14ac:dyDescent="0.35"/>
    <row r="325" customFormat="1" x14ac:dyDescent="0.35"/>
    <row r="326" customFormat="1" x14ac:dyDescent="0.35"/>
    <row r="327" customFormat="1" x14ac:dyDescent="0.35"/>
    <row r="328" customFormat="1" x14ac:dyDescent="0.35"/>
    <row r="329" customFormat="1" x14ac:dyDescent="0.35"/>
    <row r="330" customFormat="1" x14ac:dyDescent="0.35"/>
    <row r="331" customFormat="1" x14ac:dyDescent="0.35"/>
    <row r="332" customFormat="1" x14ac:dyDescent="0.35"/>
    <row r="333" customFormat="1" x14ac:dyDescent="0.35"/>
    <row r="334" customFormat="1" x14ac:dyDescent="0.35"/>
    <row r="335" customFormat="1" x14ac:dyDescent="0.35"/>
    <row r="336" customFormat="1" x14ac:dyDescent="0.35"/>
    <row r="337" customFormat="1" x14ac:dyDescent="0.35"/>
    <row r="338" customFormat="1" x14ac:dyDescent="0.35"/>
    <row r="339" customFormat="1" x14ac:dyDescent="0.35"/>
    <row r="340" customFormat="1" x14ac:dyDescent="0.35"/>
    <row r="341" customFormat="1" x14ac:dyDescent="0.35"/>
    <row r="342" customFormat="1" x14ac:dyDescent="0.35"/>
    <row r="343" customFormat="1" x14ac:dyDescent="0.35"/>
    <row r="344" customFormat="1" x14ac:dyDescent="0.35"/>
    <row r="345" customFormat="1" x14ac:dyDescent="0.35"/>
    <row r="346" customFormat="1" x14ac:dyDescent="0.35"/>
    <row r="347" customFormat="1" x14ac:dyDescent="0.35"/>
    <row r="348" customFormat="1" x14ac:dyDescent="0.35"/>
    <row r="349" customFormat="1" x14ac:dyDescent="0.35"/>
    <row r="350" customFormat="1" x14ac:dyDescent="0.35"/>
    <row r="351" customFormat="1" x14ac:dyDescent="0.35"/>
    <row r="352" customFormat="1" x14ac:dyDescent="0.35"/>
    <row r="353" customFormat="1" x14ac:dyDescent="0.35"/>
    <row r="354" customFormat="1" x14ac:dyDescent="0.35"/>
    <row r="355" customFormat="1" x14ac:dyDescent="0.35"/>
    <row r="356" customFormat="1" x14ac:dyDescent="0.35"/>
    <row r="357" customFormat="1" x14ac:dyDescent="0.35"/>
    <row r="358" customFormat="1" x14ac:dyDescent="0.35"/>
    <row r="359" customFormat="1" x14ac:dyDescent="0.35"/>
    <row r="360" customFormat="1" x14ac:dyDescent="0.35"/>
    <row r="361" customFormat="1" x14ac:dyDescent="0.35"/>
    <row r="362" customFormat="1" x14ac:dyDescent="0.35"/>
    <row r="363" customFormat="1" x14ac:dyDescent="0.35"/>
    <row r="364" customFormat="1" x14ac:dyDescent="0.35"/>
    <row r="365" customFormat="1" x14ac:dyDescent="0.35"/>
    <row r="366" customFormat="1" x14ac:dyDescent="0.35"/>
    <row r="367" customFormat="1" x14ac:dyDescent="0.35"/>
    <row r="368" customFormat="1" x14ac:dyDescent="0.35"/>
    <row r="369" customFormat="1" x14ac:dyDescent="0.35"/>
    <row r="370" customFormat="1" x14ac:dyDescent="0.35"/>
    <row r="371" customFormat="1" x14ac:dyDescent="0.35"/>
    <row r="372" customFormat="1" x14ac:dyDescent="0.35"/>
    <row r="373" customFormat="1" x14ac:dyDescent="0.35"/>
    <row r="374" customFormat="1" x14ac:dyDescent="0.35"/>
    <row r="375" customFormat="1" x14ac:dyDescent="0.35"/>
    <row r="376" customFormat="1" x14ac:dyDescent="0.35"/>
    <row r="377" customFormat="1" x14ac:dyDescent="0.35"/>
    <row r="378" customFormat="1" x14ac:dyDescent="0.35"/>
    <row r="379" customFormat="1" x14ac:dyDescent="0.35"/>
    <row r="380" customFormat="1" x14ac:dyDescent="0.35"/>
    <row r="381" customFormat="1" x14ac:dyDescent="0.35"/>
    <row r="382" customFormat="1" x14ac:dyDescent="0.35"/>
    <row r="383" customFormat="1" x14ac:dyDescent="0.35"/>
    <row r="384" customFormat="1" x14ac:dyDescent="0.35"/>
    <row r="385" customFormat="1" x14ac:dyDescent="0.35"/>
    <row r="386" customFormat="1" x14ac:dyDescent="0.35"/>
    <row r="387" customFormat="1" x14ac:dyDescent="0.35"/>
    <row r="388" customFormat="1" x14ac:dyDescent="0.35"/>
    <row r="389" customFormat="1" x14ac:dyDescent="0.35"/>
    <row r="390" customFormat="1" x14ac:dyDescent="0.35"/>
    <row r="391" customFormat="1" x14ac:dyDescent="0.35"/>
    <row r="392" customFormat="1" x14ac:dyDescent="0.35"/>
    <row r="393" customFormat="1" x14ac:dyDescent="0.35"/>
    <row r="394" customFormat="1" x14ac:dyDescent="0.35"/>
    <row r="395" customFormat="1" x14ac:dyDescent="0.35"/>
    <row r="396" customFormat="1" x14ac:dyDescent="0.35"/>
    <row r="397" customFormat="1" x14ac:dyDescent="0.35"/>
    <row r="398" customFormat="1" x14ac:dyDescent="0.35"/>
    <row r="399" customFormat="1" x14ac:dyDescent="0.35"/>
    <row r="400" customFormat="1" x14ac:dyDescent="0.35"/>
    <row r="401" customFormat="1" x14ac:dyDescent="0.35"/>
    <row r="402" customFormat="1" x14ac:dyDescent="0.35"/>
    <row r="403" customFormat="1" x14ac:dyDescent="0.35"/>
    <row r="404" customFormat="1" x14ac:dyDescent="0.35"/>
    <row r="405" customFormat="1" x14ac:dyDescent="0.35"/>
    <row r="406" customFormat="1" x14ac:dyDescent="0.35"/>
    <row r="407" customFormat="1" x14ac:dyDescent="0.35"/>
    <row r="408" customFormat="1" x14ac:dyDescent="0.35"/>
    <row r="409" customFormat="1" x14ac:dyDescent="0.35"/>
    <row r="410" customFormat="1" x14ac:dyDescent="0.35"/>
    <row r="411" customFormat="1" x14ac:dyDescent="0.35"/>
    <row r="412" customFormat="1" x14ac:dyDescent="0.35"/>
    <row r="413" customFormat="1" x14ac:dyDescent="0.35"/>
    <row r="414" customFormat="1" x14ac:dyDescent="0.35"/>
    <row r="415" customFormat="1" x14ac:dyDescent="0.35"/>
    <row r="416" customFormat="1" x14ac:dyDescent="0.35"/>
    <row r="417" customFormat="1" x14ac:dyDescent="0.35"/>
    <row r="418" customFormat="1" x14ac:dyDescent="0.35"/>
    <row r="419" customFormat="1" x14ac:dyDescent="0.35"/>
    <row r="420" customFormat="1" x14ac:dyDescent="0.35"/>
    <row r="421" customFormat="1" x14ac:dyDescent="0.35"/>
    <row r="422" customFormat="1" x14ac:dyDescent="0.35"/>
    <row r="423" customFormat="1" x14ac:dyDescent="0.35"/>
    <row r="424" customFormat="1" x14ac:dyDescent="0.35"/>
    <row r="425" customFormat="1" x14ac:dyDescent="0.35"/>
    <row r="426" customFormat="1" x14ac:dyDescent="0.35"/>
    <row r="427" customFormat="1" x14ac:dyDescent="0.35"/>
    <row r="428" customFormat="1" x14ac:dyDescent="0.35"/>
    <row r="429" customFormat="1" x14ac:dyDescent="0.35"/>
    <row r="430" customFormat="1" x14ac:dyDescent="0.35"/>
    <row r="431" customFormat="1" x14ac:dyDescent="0.35"/>
    <row r="432" customFormat="1" x14ac:dyDescent="0.35"/>
    <row r="433" customFormat="1" x14ac:dyDescent="0.35"/>
    <row r="434" customFormat="1" x14ac:dyDescent="0.35"/>
    <row r="435" customFormat="1" x14ac:dyDescent="0.35"/>
    <row r="436" customFormat="1" x14ac:dyDescent="0.35"/>
    <row r="437" customFormat="1" x14ac:dyDescent="0.35"/>
    <row r="438" customFormat="1" x14ac:dyDescent="0.35"/>
    <row r="439" customFormat="1" x14ac:dyDescent="0.35"/>
    <row r="440" customFormat="1" x14ac:dyDescent="0.35"/>
    <row r="441" customFormat="1" x14ac:dyDescent="0.35"/>
    <row r="442" customFormat="1" x14ac:dyDescent="0.35"/>
    <row r="443" customFormat="1" x14ac:dyDescent="0.35"/>
    <row r="444" customFormat="1" x14ac:dyDescent="0.35"/>
    <row r="445" customFormat="1" x14ac:dyDescent="0.35"/>
    <row r="446" customFormat="1" x14ac:dyDescent="0.35"/>
    <row r="447" customFormat="1" x14ac:dyDescent="0.35"/>
    <row r="448" customFormat="1" x14ac:dyDescent="0.35"/>
    <row r="449" customFormat="1" x14ac:dyDescent="0.35"/>
    <row r="450" customFormat="1" x14ac:dyDescent="0.35"/>
    <row r="451" customFormat="1" x14ac:dyDescent="0.35"/>
    <row r="452" customFormat="1" x14ac:dyDescent="0.35"/>
    <row r="453" customFormat="1" x14ac:dyDescent="0.35"/>
    <row r="454" customFormat="1" x14ac:dyDescent="0.35"/>
    <row r="455" customFormat="1" x14ac:dyDescent="0.35"/>
    <row r="456" customFormat="1" x14ac:dyDescent="0.35"/>
    <row r="457" customFormat="1" x14ac:dyDescent="0.35"/>
    <row r="458" customFormat="1" x14ac:dyDescent="0.35"/>
    <row r="459" customFormat="1" x14ac:dyDescent="0.35"/>
    <row r="460" customFormat="1" x14ac:dyDescent="0.35"/>
    <row r="461" customFormat="1" x14ac:dyDescent="0.35"/>
    <row r="462" customFormat="1" x14ac:dyDescent="0.35"/>
    <row r="463" customFormat="1" x14ac:dyDescent="0.35"/>
    <row r="464" customFormat="1" x14ac:dyDescent="0.35"/>
    <row r="465" customFormat="1" x14ac:dyDescent="0.35"/>
    <row r="466" customFormat="1" x14ac:dyDescent="0.35"/>
    <row r="467" customFormat="1" x14ac:dyDescent="0.35"/>
    <row r="468" customFormat="1" x14ac:dyDescent="0.35"/>
    <row r="469" customFormat="1" x14ac:dyDescent="0.35"/>
    <row r="470" customFormat="1" x14ac:dyDescent="0.35"/>
    <row r="471" customFormat="1" x14ac:dyDescent="0.35"/>
    <row r="472" customFormat="1" x14ac:dyDescent="0.35"/>
    <row r="473" customFormat="1" x14ac:dyDescent="0.35"/>
    <row r="474" customFormat="1" x14ac:dyDescent="0.35"/>
    <row r="475" customFormat="1" x14ac:dyDescent="0.35"/>
    <row r="476" customFormat="1" x14ac:dyDescent="0.35"/>
    <row r="477" customFormat="1" x14ac:dyDescent="0.35"/>
    <row r="478" customFormat="1" x14ac:dyDescent="0.35"/>
    <row r="479" customFormat="1" x14ac:dyDescent="0.35"/>
    <row r="480" customFormat="1" x14ac:dyDescent="0.35"/>
    <row r="481" customFormat="1" x14ac:dyDescent="0.35"/>
    <row r="482" customFormat="1" x14ac:dyDescent="0.35"/>
    <row r="483" customFormat="1" x14ac:dyDescent="0.35"/>
    <row r="484" customFormat="1" x14ac:dyDescent="0.35"/>
    <row r="485" customFormat="1" x14ac:dyDescent="0.35"/>
    <row r="486" customFormat="1" x14ac:dyDescent="0.35"/>
    <row r="487" customFormat="1" x14ac:dyDescent="0.35"/>
    <row r="488" customFormat="1" x14ac:dyDescent="0.35"/>
    <row r="489" customFormat="1" x14ac:dyDescent="0.35"/>
    <row r="490" customFormat="1" x14ac:dyDescent="0.35"/>
    <row r="491" customFormat="1" x14ac:dyDescent="0.35"/>
    <row r="492" customFormat="1" x14ac:dyDescent="0.35"/>
    <row r="493" customFormat="1" x14ac:dyDescent="0.35"/>
    <row r="494" customFormat="1" x14ac:dyDescent="0.35"/>
    <row r="495" customFormat="1" x14ac:dyDescent="0.35"/>
    <row r="496" customFormat="1" x14ac:dyDescent="0.35"/>
    <row r="497" customFormat="1" x14ac:dyDescent="0.35"/>
    <row r="498" customFormat="1" x14ac:dyDescent="0.35"/>
    <row r="499" customFormat="1" x14ac:dyDescent="0.35"/>
    <row r="500" customFormat="1" x14ac:dyDescent="0.35"/>
    <row r="501" customFormat="1" x14ac:dyDescent="0.35"/>
    <row r="502" customFormat="1" x14ac:dyDescent="0.35"/>
    <row r="503" customFormat="1" x14ac:dyDescent="0.35"/>
    <row r="504" customFormat="1" x14ac:dyDescent="0.35"/>
    <row r="505" customFormat="1" x14ac:dyDescent="0.35"/>
    <row r="506" customFormat="1" x14ac:dyDescent="0.35"/>
    <row r="507" customFormat="1" x14ac:dyDescent="0.35"/>
    <row r="508" customFormat="1" x14ac:dyDescent="0.35"/>
    <row r="509" customFormat="1" x14ac:dyDescent="0.35"/>
    <row r="510" customFormat="1" x14ac:dyDescent="0.35"/>
    <row r="511" customFormat="1" x14ac:dyDescent="0.35"/>
    <row r="512" customFormat="1" x14ac:dyDescent="0.35"/>
    <row r="513" customFormat="1" x14ac:dyDescent="0.35"/>
    <row r="514" customFormat="1" x14ac:dyDescent="0.35"/>
    <row r="515" customFormat="1" x14ac:dyDescent="0.35"/>
    <row r="516" customFormat="1" x14ac:dyDescent="0.35"/>
    <row r="517" customFormat="1" x14ac:dyDescent="0.35"/>
    <row r="518" customFormat="1" x14ac:dyDescent="0.35"/>
    <row r="519" customFormat="1" x14ac:dyDescent="0.35"/>
    <row r="520" customFormat="1" x14ac:dyDescent="0.35"/>
    <row r="521" customFormat="1" x14ac:dyDescent="0.35"/>
    <row r="522" customFormat="1" x14ac:dyDescent="0.35"/>
    <row r="523" customFormat="1" x14ac:dyDescent="0.35"/>
    <row r="524" customFormat="1" x14ac:dyDescent="0.35"/>
    <row r="525" customFormat="1" x14ac:dyDescent="0.35"/>
    <row r="526" customFormat="1" x14ac:dyDescent="0.35"/>
    <row r="527" customFormat="1" x14ac:dyDescent="0.35"/>
    <row r="528" customFormat="1" x14ac:dyDescent="0.35"/>
    <row r="529" customFormat="1" x14ac:dyDescent="0.35"/>
    <row r="530" customFormat="1" x14ac:dyDescent="0.35"/>
    <row r="531" customFormat="1" x14ac:dyDescent="0.35"/>
    <row r="532" customFormat="1" x14ac:dyDescent="0.35"/>
    <row r="533" customFormat="1" x14ac:dyDescent="0.35"/>
    <row r="534" customFormat="1" x14ac:dyDescent="0.35"/>
    <row r="535" customFormat="1" x14ac:dyDescent="0.35"/>
    <row r="536" customFormat="1" x14ac:dyDescent="0.35"/>
    <row r="537" customFormat="1" x14ac:dyDescent="0.35"/>
    <row r="538" customFormat="1" x14ac:dyDescent="0.35"/>
    <row r="539" customFormat="1" x14ac:dyDescent="0.35"/>
    <row r="540" customFormat="1" x14ac:dyDescent="0.35"/>
    <row r="541" customFormat="1" x14ac:dyDescent="0.35"/>
    <row r="542" customFormat="1" x14ac:dyDescent="0.35"/>
    <row r="543" customFormat="1" x14ac:dyDescent="0.35"/>
    <row r="544" customFormat="1" x14ac:dyDescent="0.35"/>
    <row r="545" customFormat="1" x14ac:dyDescent="0.35"/>
    <row r="546" customFormat="1" x14ac:dyDescent="0.35"/>
    <row r="547" customFormat="1" x14ac:dyDescent="0.35"/>
    <row r="548" customFormat="1" x14ac:dyDescent="0.35"/>
    <row r="549" customFormat="1" x14ac:dyDescent="0.35"/>
    <row r="550" customFormat="1" x14ac:dyDescent="0.35"/>
    <row r="551" customFormat="1" x14ac:dyDescent="0.35"/>
    <row r="552" customFormat="1" x14ac:dyDescent="0.35"/>
    <row r="553" customFormat="1" x14ac:dyDescent="0.35"/>
    <row r="554" customFormat="1" x14ac:dyDescent="0.35"/>
    <row r="555" customFormat="1" x14ac:dyDescent="0.35"/>
    <row r="556" customFormat="1" x14ac:dyDescent="0.35"/>
    <row r="557" customFormat="1" x14ac:dyDescent="0.35"/>
    <row r="558" customFormat="1" x14ac:dyDescent="0.35"/>
    <row r="559" customFormat="1" x14ac:dyDescent="0.35"/>
    <row r="560" customFormat="1" x14ac:dyDescent="0.35"/>
    <row r="561" customFormat="1" x14ac:dyDescent="0.35"/>
    <row r="562" customFormat="1" x14ac:dyDescent="0.35"/>
    <row r="563" customFormat="1" x14ac:dyDescent="0.35"/>
    <row r="564" customFormat="1" x14ac:dyDescent="0.35"/>
    <row r="565" customFormat="1" x14ac:dyDescent="0.35"/>
    <row r="566" customFormat="1" x14ac:dyDescent="0.35"/>
    <row r="567" customFormat="1" x14ac:dyDescent="0.35"/>
    <row r="568" customFormat="1" x14ac:dyDescent="0.35"/>
    <row r="569" customFormat="1" x14ac:dyDescent="0.35"/>
    <row r="570" customFormat="1" x14ac:dyDescent="0.35"/>
    <row r="571" customFormat="1" x14ac:dyDescent="0.35"/>
    <row r="572" customFormat="1" x14ac:dyDescent="0.35"/>
    <row r="573" customFormat="1" x14ac:dyDescent="0.35"/>
    <row r="574" customFormat="1" x14ac:dyDescent="0.35"/>
    <row r="575" customFormat="1" x14ac:dyDescent="0.35"/>
    <row r="576" customFormat="1" x14ac:dyDescent="0.35"/>
    <row r="577" customFormat="1" x14ac:dyDescent="0.35"/>
    <row r="578" customFormat="1" x14ac:dyDescent="0.35"/>
    <row r="579" customFormat="1" x14ac:dyDescent="0.35"/>
    <row r="580" customFormat="1" x14ac:dyDescent="0.35"/>
    <row r="581" customFormat="1" x14ac:dyDescent="0.35"/>
    <row r="582" customFormat="1" x14ac:dyDescent="0.35"/>
    <row r="583" customFormat="1" x14ac:dyDescent="0.35"/>
    <row r="584" customFormat="1" x14ac:dyDescent="0.35"/>
    <row r="585" customFormat="1" x14ac:dyDescent="0.35"/>
    <row r="586" customFormat="1" x14ac:dyDescent="0.35"/>
    <row r="587" customFormat="1" x14ac:dyDescent="0.35"/>
    <row r="588" customFormat="1" x14ac:dyDescent="0.35"/>
    <row r="589" customFormat="1" x14ac:dyDescent="0.35"/>
    <row r="590" customFormat="1" x14ac:dyDescent="0.35"/>
    <row r="591" customFormat="1" x14ac:dyDescent="0.35"/>
    <row r="592" customFormat="1" x14ac:dyDescent="0.35"/>
    <row r="593" customFormat="1" x14ac:dyDescent="0.35"/>
    <row r="594" customFormat="1" x14ac:dyDescent="0.35"/>
    <row r="595" customFormat="1" x14ac:dyDescent="0.35"/>
    <row r="596" customFormat="1" x14ac:dyDescent="0.35"/>
    <row r="597" customFormat="1" x14ac:dyDescent="0.35"/>
    <row r="598" customFormat="1" x14ac:dyDescent="0.35"/>
    <row r="599" customFormat="1" x14ac:dyDescent="0.35"/>
    <row r="600" customFormat="1" x14ac:dyDescent="0.35"/>
    <row r="601" customFormat="1" x14ac:dyDescent="0.35"/>
    <row r="602" customFormat="1" x14ac:dyDescent="0.35"/>
    <row r="603" customFormat="1" x14ac:dyDescent="0.35"/>
    <row r="604" customFormat="1" x14ac:dyDescent="0.35"/>
    <row r="605" customFormat="1" x14ac:dyDescent="0.35"/>
    <row r="606" customFormat="1" x14ac:dyDescent="0.35"/>
    <row r="607" customFormat="1" x14ac:dyDescent="0.35"/>
    <row r="608" customFormat="1" x14ac:dyDescent="0.35"/>
    <row r="609" customFormat="1" x14ac:dyDescent="0.35"/>
    <row r="610" customFormat="1" x14ac:dyDescent="0.35"/>
    <row r="611" customFormat="1" x14ac:dyDescent="0.35"/>
    <row r="612" customFormat="1" x14ac:dyDescent="0.35"/>
    <row r="613" customFormat="1" x14ac:dyDescent="0.35"/>
    <row r="614" customFormat="1" x14ac:dyDescent="0.35"/>
    <row r="615" customFormat="1" x14ac:dyDescent="0.35"/>
    <row r="616" customFormat="1" x14ac:dyDescent="0.35"/>
    <row r="617" customFormat="1" x14ac:dyDescent="0.35"/>
    <row r="618" customFormat="1" x14ac:dyDescent="0.35"/>
    <row r="619" customFormat="1" x14ac:dyDescent="0.35"/>
    <row r="620" customFormat="1" x14ac:dyDescent="0.35"/>
    <row r="621" customFormat="1" x14ac:dyDescent="0.35"/>
    <row r="622" customFormat="1" x14ac:dyDescent="0.35"/>
    <row r="623" customFormat="1" x14ac:dyDescent="0.35"/>
    <row r="624" customFormat="1" x14ac:dyDescent="0.35"/>
    <row r="625" customFormat="1" x14ac:dyDescent="0.35"/>
    <row r="626" customFormat="1" x14ac:dyDescent="0.35"/>
    <row r="627" customFormat="1" x14ac:dyDescent="0.35"/>
    <row r="628" customFormat="1" x14ac:dyDescent="0.35"/>
    <row r="629" customFormat="1" x14ac:dyDescent="0.35"/>
    <row r="630" customFormat="1" x14ac:dyDescent="0.35"/>
    <row r="631" customFormat="1" x14ac:dyDescent="0.35"/>
    <row r="632" customFormat="1" x14ac:dyDescent="0.35"/>
    <row r="633" customFormat="1" x14ac:dyDescent="0.35"/>
    <row r="634" customFormat="1" x14ac:dyDescent="0.35"/>
    <row r="635" customFormat="1" x14ac:dyDescent="0.35"/>
    <row r="636" customFormat="1" x14ac:dyDescent="0.35"/>
    <row r="637" customFormat="1" x14ac:dyDescent="0.35"/>
    <row r="638" customFormat="1" x14ac:dyDescent="0.35"/>
    <row r="639" customFormat="1" x14ac:dyDescent="0.35"/>
    <row r="640" customFormat="1" x14ac:dyDescent="0.35"/>
    <row r="641" customFormat="1" x14ac:dyDescent="0.35"/>
    <row r="642" customFormat="1" x14ac:dyDescent="0.35"/>
    <row r="643" customFormat="1" x14ac:dyDescent="0.35"/>
    <row r="644" customFormat="1" x14ac:dyDescent="0.35"/>
    <row r="645" customFormat="1" x14ac:dyDescent="0.35"/>
    <row r="646" customFormat="1" x14ac:dyDescent="0.35"/>
    <row r="647" customFormat="1" x14ac:dyDescent="0.35"/>
    <row r="648" customFormat="1" x14ac:dyDescent="0.35"/>
    <row r="649" customFormat="1" x14ac:dyDescent="0.35"/>
    <row r="650" customFormat="1" x14ac:dyDescent="0.35"/>
    <row r="651" customFormat="1" x14ac:dyDescent="0.35"/>
    <row r="652" customFormat="1" x14ac:dyDescent="0.35"/>
    <row r="653" customFormat="1" x14ac:dyDescent="0.35"/>
    <row r="654" customFormat="1" x14ac:dyDescent="0.35"/>
    <row r="655" customFormat="1" x14ac:dyDescent="0.35"/>
    <row r="656" customFormat="1" x14ac:dyDescent="0.35"/>
    <row r="657" customFormat="1" x14ac:dyDescent="0.35"/>
    <row r="658" customFormat="1" x14ac:dyDescent="0.35"/>
    <row r="659" customFormat="1" x14ac:dyDescent="0.35"/>
    <row r="660" customFormat="1" x14ac:dyDescent="0.35"/>
    <row r="661" customFormat="1" x14ac:dyDescent="0.35"/>
    <row r="662" customFormat="1" x14ac:dyDescent="0.35"/>
    <row r="663" customFormat="1" x14ac:dyDescent="0.35"/>
    <row r="664" customFormat="1" x14ac:dyDescent="0.35"/>
    <row r="665" customFormat="1" x14ac:dyDescent="0.35"/>
    <row r="666" customFormat="1" x14ac:dyDescent="0.35"/>
    <row r="667" customFormat="1" x14ac:dyDescent="0.35"/>
    <row r="668" customFormat="1" x14ac:dyDescent="0.35"/>
    <row r="669" customFormat="1" x14ac:dyDescent="0.35"/>
    <row r="670" customFormat="1" x14ac:dyDescent="0.35"/>
    <row r="671" customFormat="1" x14ac:dyDescent="0.35"/>
    <row r="672" customFormat="1" x14ac:dyDescent="0.35"/>
    <row r="673" customFormat="1" x14ac:dyDescent="0.35"/>
    <row r="674" customFormat="1" x14ac:dyDescent="0.35"/>
    <row r="675" customFormat="1" x14ac:dyDescent="0.35"/>
    <row r="676" customFormat="1" x14ac:dyDescent="0.35"/>
    <row r="677" customFormat="1" x14ac:dyDescent="0.35"/>
    <row r="678" customFormat="1" x14ac:dyDescent="0.35"/>
    <row r="679" customFormat="1" x14ac:dyDescent="0.35"/>
    <row r="680" customFormat="1" x14ac:dyDescent="0.35"/>
    <row r="681" customFormat="1" x14ac:dyDescent="0.35"/>
    <row r="682" customFormat="1" x14ac:dyDescent="0.35"/>
    <row r="683" customFormat="1" x14ac:dyDescent="0.35"/>
    <row r="684" customFormat="1" x14ac:dyDescent="0.35"/>
    <row r="685" customFormat="1" x14ac:dyDescent="0.35"/>
    <row r="686" customFormat="1" x14ac:dyDescent="0.35"/>
    <row r="687" customFormat="1" x14ac:dyDescent="0.35"/>
    <row r="688" customFormat="1" x14ac:dyDescent="0.35"/>
    <row r="689" customFormat="1" x14ac:dyDescent="0.35"/>
    <row r="690" customFormat="1" x14ac:dyDescent="0.35"/>
    <row r="691" customFormat="1" x14ac:dyDescent="0.35"/>
    <row r="692" customFormat="1" x14ac:dyDescent="0.35"/>
    <row r="693" customFormat="1" x14ac:dyDescent="0.35"/>
    <row r="694" customFormat="1" x14ac:dyDescent="0.35"/>
    <row r="695" customFormat="1" x14ac:dyDescent="0.35"/>
    <row r="696" customFormat="1" x14ac:dyDescent="0.35"/>
    <row r="697" customFormat="1" x14ac:dyDescent="0.35"/>
    <row r="698" customFormat="1" x14ac:dyDescent="0.35"/>
    <row r="699" customFormat="1" x14ac:dyDescent="0.35"/>
    <row r="700" customFormat="1" x14ac:dyDescent="0.35"/>
    <row r="701" customFormat="1" x14ac:dyDescent="0.35"/>
    <row r="702" customFormat="1" x14ac:dyDescent="0.35"/>
    <row r="703" customFormat="1" x14ac:dyDescent="0.35"/>
    <row r="704" customFormat="1" x14ac:dyDescent="0.35"/>
    <row r="705" customFormat="1" x14ac:dyDescent="0.35"/>
    <row r="706" customFormat="1" x14ac:dyDescent="0.35"/>
    <row r="707" customFormat="1" x14ac:dyDescent="0.35"/>
    <row r="708" customFormat="1" x14ac:dyDescent="0.35"/>
    <row r="709" customFormat="1" x14ac:dyDescent="0.35"/>
    <row r="710" customFormat="1" x14ac:dyDescent="0.35"/>
    <row r="711" customFormat="1" x14ac:dyDescent="0.35"/>
    <row r="712" customFormat="1" x14ac:dyDescent="0.35"/>
    <row r="713" customFormat="1" x14ac:dyDescent="0.35"/>
    <row r="714" customFormat="1" x14ac:dyDescent="0.35"/>
    <row r="715" customFormat="1" x14ac:dyDescent="0.35"/>
    <row r="716" customFormat="1" x14ac:dyDescent="0.35"/>
    <row r="717" customFormat="1" x14ac:dyDescent="0.35"/>
    <row r="718" customFormat="1" x14ac:dyDescent="0.35"/>
    <row r="719" customFormat="1" x14ac:dyDescent="0.35"/>
    <row r="720" customFormat="1" x14ac:dyDescent="0.35"/>
    <row r="721" customFormat="1" x14ac:dyDescent="0.35"/>
    <row r="722" customFormat="1" x14ac:dyDescent="0.35"/>
    <row r="723" customFormat="1" x14ac:dyDescent="0.35"/>
    <row r="724" customFormat="1" x14ac:dyDescent="0.35"/>
    <row r="725" customFormat="1" x14ac:dyDescent="0.35"/>
    <row r="726" customFormat="1" x14ac:dyDescent="0.35"/>
    <row r="727" customFormat="1" x14ac:dyDescent="0.35"/>
    <row r="728" customFormat="1" x14ac:dyDescent="0.35"/>
    <row r="729" customFormat="1" x14ac:dyDescent="0.35"/>
    <row r="730" customFormat="1" x14ac:dyDescent="0.35"/>
    <row r="731" customFormat="1" x14ac:dyDescent="0.35"/>
    <row r="732" customFormat="1" x14ac:dyDescent="0.35"/>
    <row r="733" customFormat="1" x14ac:dyDescent="0.35"/>
    <row r="734" customFormat="1" x14ac:dyDescent="0.35"/>
    <row r="735" customFormat="1" x14ac:dyDescent="0.35"/>
    <row r="736" customFormat="1" x14ac:dyDescent="0.35"/>
    <row r="737" customFormat="1" x14ac:dyDescent="0.35"/>
    <row r="738" customFormat="1" x14ac:dyDescent="0.35"/>
    <row r="739" customFormat="1" x14ac:dyDescent="0.35"/>
    <row r="740" customFormat="1" x14ac:dyDescent="0.35"/>
    <row r="741" customFormat="1" x14ac:dyDescent="0.35"/>
    <row r="742" customFormat="1" x14ac:dyDescent="0.35"/>
    <row r="743" customFormat="1" x14ac:dyDescent="0.35"/>
    <row r="744" customFormat="1" x14ac:dyDescent="0.35"/>
    <row r="745" customFormat="1" x14ac:dyDescent="0.35"/>
    <row r="746" customFormat="1" x14ac:dyDescent="0.35"/>
    <row r="747" customFormat="1" x14ac:dyDescent="0.35"/>
    <row r="748" customFormat="1" x14ac:dyDescent="0.35"/>
    <row r="749" customFormat="1" x14ac:dyDescent="0.35"/>
    <row r="750" customFormat="1" x14ac:dyDescent="0.35"/>
    <row r="751" customFormat="1" x14ac:dyDescent="0.35"/>
    <row r="752" customFormat="1" x14ac:dyDescent="0.35"/>
    <row r="753" customFormat="1" x14ac:dyDescent="0.35"/>
    <row r="754" customFormat="1" x14ac:dyDescent="0.35"/>
    <row r="755" customFormat="1" x14ac:dyDescent="0.35"/>
    <row r="756" customFormat="1" x14ac:dyDescent="0.35"/>
    <row r="757" customFormat="1" x14ac:dyDescent="0.35"/>
    <row r="758" customFormat="1" x14ac:dyDescent="0.35"/>
    <row r="759" customFormat="1" x14ac:dyDescent="0.35"/>
    <row r="760" customFormat="1" x14ac:dyDescent="0.35"/>
    <row r="761" customFormat="1" x14ac:dyDescent="0.35"/>
    <row r="762" customFormat="1" x14ac:dyDescent="0.35"/>
    <row r="763" customFormat="1" x14ac:dyDescent="0.35"/>
    <row r="764" customFormat="1" x14ac:dyDescent="0.35"/>
    <row r="765" customFormat="1" x14ac:dyDescent="0.35"/>
    <row r="766" customFormat="1" x14ac:dyDescent="0.35"/>
    <row r="767" customFormat="1" x14ac:dyDescent="0.35"/>
    <row r="768" customFormat="1" x14ac:dyDescent="0.35"/>
    <row r="769" customFormat="1" x14ac:dyDescent="0.35"/>
    <row r="770" customFormat="1" x14ac:dyDescent="0.35"/>
    <row r="771" customFormat="1" x14ac:dyDescent="0.35"/>
    <row r="772" customFormat="1" x14ac:dyDescent="0.35"/>
    <row r="773" customFormat="1" x14ac:dyDescent="0.35"/>
    <row r="774" customFormat="1" x14ac:dyDescent="0.35"/>
    <row r="775" customFormat="1" x14ac:dyDescent="0.35"/>
    <row r="776" customFormat="1" x14ac:dyDescent="0.35"/>
    <row r="777" customFormat="1" x14ac:dyDescent="0.35"/>
    <row r="778" customFormat="1" x14ac:dyDescent="0.35"/>
    <row r="779" customFormat="1" x14ac:dyDescent="0.35"/>
    <row r="780" customFormat="1" x14ac:dyDescent="0.35"/>
    <row r="781" customFormat="1" x14ac:dyDescent="0.35"/>
    <row r="782" customFormat="1" x14ac:dyDescent="0.35"/>
    <row r="783" customFormat="1" x14ac:dyDescent="0.35"/>
    <row r="784" customFormat="1" x14ac:dyDescent="0.35"/>
    <row r="785" customFormat="1" x14ac:dyDescent="0.35"/>
    <row r="786" customFormat="1" x14ac:dyDescent="0.35"/>
    <row r="787" customFormat="1" x14ac:dyDescent="0.35"/>
    <row r="788" customFormat="1" x14ac:dyDescent="0.35"/>
    <row r="789" customFormat="1" x14ac:dyDescent="0.35"/>
    <row r="790" customFormat="1" x14ac:dyDescent="0.35"/>
    <row r="791" customFormat="1" x14ac:dyDescent="0.35"/>
    <row r="792" customFormat="1" x14ac:dyDescent="0.35"/>
    <row r="793" customFormat="1" x14ac:dyDescent="0.35"/>
    <row r="794" customFormat="1" x14ac:dyDescent="0.35"/>
    <row r="795" customFormat="1" x14ac:dyDescent="0.35"/>
    <row r="796" customFormat="1" x14ac:dyDescent="0.35"/>
    <row r="797" customFormat="1" x14ac:dyDescent="0.35"/>
    <row r="798" customFormat="1" x14ac:dyDescent="0.35"/>
    <row r="799" customFormat="1" x14ac:dyDescent="0.35"/>
    <row r="800" customFormat="1" x14ac:dyDescent="0.35"/>
    <row r="801" customFormat="1" x14ac:dyDescent="0.35"/>
    <row r="802" customFormat="1" x14ac:dyDescent="0.35"/>
    <row r="803" customFormat="1" x14ac:dyDescent="0.35"/>
    <row r="804" customFormat="1" x14ac:dyDescent="0.35"/>
    <row r="805" customFormat="1" x14ac:dyDescent="0.35"/>
    <row r="806" customFormat="1" x14ac:dyDescent="0.35"/>
    <row r="807" customFormat="1" x14ac:dyDescent="0.35"/>
    <row r="808" customFormat="1" x14ac:dyDescent="0.35"/>
    <row r="809" customFormat="1" x14ac:dyDescent="0.35"/>
    <row r="810" customFormat="1" x14ac:dyDescent="0.35"/>
    <row r="811" customFormat="1" x14ac:dyDescent="0.35"/>
    <row r="812" customFormat="1" x14ac:dyDescent="0.35"/>
    <row r="813" customFormat="1" x14ac:dyDescent="0.35"/>
    <row r="814" customFormat="1" x14ac:dyDescent="0.35"/>
    <row r="815" customFormat="1" x14ac:dyDescent="0.35"/>
    <row r="816" customFormat="1" x14ac:dyDescent="0.35"/>
    <row r="817" customFormat="1" x14ac:dyDescent="0.35"/>
    <row r="818" customFormat="1" x14ac:dyDescent="0.35"/>
    <row r="819" customFormat="1" x14ac:dyDescent="0.35"/>
    <row r="820" customFormat="1" x14ac:dyDescent="0.35"/>
    <row r="821" customFormat="1" x14ac:dyDescent="0.35"/>
    <row r="822" customFormat="1" x14ac:dyDescent="0.35"/>
    <row r="823" customFormat="1" x14ac:dyDescent="0.35"/>
    <row r="824" customFormat="1" x14ac:dyDescent="0.35"/>
    <row r="825" customFormat="1" x14ac:dyDescent="0.35"/>
    <row r="826" customFormat="1" x14ac:dyDescent="0.35"/>
    <row r="827" customFormat="1" x14ac:dyDescent="0.35"/>
    <row r="828" customFormat="1" x14ac:dyDescent="0.35"/>
    <row r="829" customFormat="1" x14ac:dyDescent="0.35"/>
    <row r="830" customFormat="1" x14ac:dyDescent="0.35"/>
    <row r="831" customFormat="1" x14ac:dyDescent="0.35"/>
    <row r="832" customFormat="1" x14ac:dyDescent="0.35"/>
    <row r="833" customFormat="1" x14ac:dyDescent="0.35"/>
    <row r="834" customFormat="1" x14ac:dyDescent="0.35"/>
    <row r="835" customFormat="1" x14ac:dyDescent="0.35"/>
    <row r="836" customFormat="1" x14ac:dyDescent="0.35"/>
    <row r="837" customFormat="1" x14ac:dyDescent="0.35"/>
    <row r="838" customFormat="1" x14ac:dyDescent="0.35"/>
    <row r="839" customFormat="1" x14ac:dyDescent="0.35"/>
    <row r="840" customFormat="1" x14ac:dyDescent="0.35"/>
    <row r="841" customFormat="1" x14ac:dyDescent="0.35"/>
    <row r="842" customFormat="1" x14ac:dyDescent="0.35"/>
    <row r="843" customFormat="1" x14ac:dyDescent="0.35"/>
    <row r="844" customFormat="1" x14ac:dyDescent="0.35"/>
    <row r="845" customFormat="1" x14ac:dyDescent="0.35"/>
    <row r="846" customFormat="1" x14ac:dyDescent="0.35"/>
    <row r="847" customFormat="1" x14ac:dyDescent="0.35"/>
    <row r="848" customFormat="1" x14ac:dyDescent="0.35"/>
    <row r="849" customFormat="1" x14ac:dyDescent="0.35"/>
    <row r="850" customFormat="1" x14ac:dyDescent="0.35"/>
    <row r="851" customFormat="1" x14ac:dyDescent="0.35"/>
    <row r="852" customFormat="1" x14ac:dyDescent="0.35"/>
    <row r="853" customFormat="1" x14ac:dyDescent="0.35"/>
    <row r="854" customFormat="1" x14ac:dyDescent="0.35"/>
    <row r="855" customFormat="1" x14ac:dyDescent="0.35"/>
    <row r="856" customFormat="1" x14ac:dyDescent="0.35"/>
    <row r="857" customFormat="1" x14ac:dyDescent="0.35"/>
    <row r="858" customFormat="1" x14ac:dyDescent="0.35"/>
    <row r="859" customFormat="1" x14ac:dyDescent="0.35"/>
    <row r="860" customFormat="1" x14ac:dyDescent="0.35"/>
    <row r="861" customFormat="1" x14ac:dyDescent="0.35"/>
    <row r="862" customFormat="1" x14ac:dyDescent="0.35"/>
    <row r="863" customFormat="1" x14ac:dyDescent="0.35"/>
    <row r="864" customFormat="1" x14ac:dyDescent="0.35"/>
    <row r="865" customFormat="1" x14ac:dyDescent="0.35"/>
    <row r="866" customFormat="1" x14ac:dyDescent="0.35"/>
    <row r="867" customFormat="1" x14ac:dyDescent="0.35"/>
    <row r="868" customFormat="1" x14ac:dyDescent="0.35"/>
    <row r="869" customFormat="1" x14ac:dyDescent="0.35"/>
    <row r="870" customFormat="1" x14ac:dyDescent="0.35"/>
    <row r="871" customFormat="1" x14ac:dyDescent="0.35"/>
    <row r="872" customFormat="1" x14ac:dyDescent="0.35"/>
    <row r="873" customFormat="1" x14ac:dyDescent="0.35"/>
    <row r="874" customFormat="1" x14ac:dyDescent="0.35"/>
    <row r="875" customFormat="1" x14ac:dyDescent="0.35"/>
    <row r="876" customFormat="1" x14ac:dyDescent="0.35"/>
    <row r="877" customFormat="1" x14ac:dyDescent="0.35"/>
    <row r="878" customFormat="1" x14ac:dyDescent="0.35"/>
    <row r="879" customFormat="1" x14ac:dyDescent="0.35"/>
    <row r="880" customFormat="1" x14ac:dyDescent="0.35"/>
    <row r="881" customFormat="1" x14ac:dyDescent="0.35"/>
    <row r="882" customFormat="1" x14ac:dyDescent="0.35"/>
    <row r="883" customFormat="1" x14ac:dyDescent="0.35"/>
    <row r="884" customFormat="1" x14ac:dyDescent="0.35"/>
    <row r="885" customFormat="1" x14ac:dyDescent="0.35"/>
    <row r="886" customFormat="1" x14ac:dyDescent="0.35"/>
    <row r="887" customFormat="1" x14ac:dyDescent="0.35"/>
    <row r="888" customFormat="1" x14ac:dyDescent="0.35"/>
    <row r="889" customFormat="1" x14ac:dyDescent="0.35"/>
    <row r="890" customFormat="1" x14ac:dyDescent="0.35"/>
    <row r="891" customFormat="1" x14ac:dyDescent="0.35"/>
    <row r="892" customFormat="1" x14ac:dyDescent="0.35"/>
    <row r="893" customFormat="1" x14ac:dyDescent="0.35"/>
    <row r="894" customFormat="1" x14ac:dyDescent="0.35"/>
    <row r="895" customFormat="1" x14ac:dyDescent="0.35"/>
    <row r="896" customFormat="1" x14ac:dyDescent="0.35"/>
    <row r="897" customFormat="1" x14ac:dyDescent="0.35"/>
    <row r="898" customFormat="1" x14ac:dyDescent="0.35"/>
    <row r="899" customFormat="1" x14ac:dyDescent="0.35"/>
    <row r="900" customFormat="1" x14ac:dyDescent="0.35"/>
    <row r="901" customFormat="1" x14ac:dyDescent="0.35"/>
    <row r="902" customFormat="1" x14ac:dyDescent="0.35"/>
    <row r="903" customFormat="1" x14ac:dyDescent="0.35"/>
    <row r="904" customFormat="1" x14ac:dyDescent="0.35"/>
    <row r="905" customFormat="1" x14ac:dyDescent="0.35"/>
    <row r="906" customFormat="1" x14ac:dyDescent="0.35"/>
    <row r="907" customFormat="1" x14ac:dyDescent="0.35"/>
    <row r="908" customFormat="1" x14ac:dyDescent="0.35"/>
    <row r="909" customFormat="1" x14ac:dyDescent="0.35"/>
    <row r="910" customFormat="1" x14ac:dyDescent="0.35"/>
    <row r="911" customFormat="1" x14ac:dyDescent="0.35"/>
    <row r="912" customFormat="1" x14ac:dyDescent="0.35"/>
    <row r="913" customFormat="1" x14ac:dyDescent="0.35"/>
    <row r="914" customFormat="1" x14ac:dyDescent="0.35"/>
    <row r="915" customFormat="1" x14ac:dyDescent="0.35"/>
    <row r="916" customFormat="1" x14ac:dyDescent="0.35"/>
    <row r="917" customFormat="1" x14ac:dyDescent="0.35"/>
    <row r="918" customFormat="1" x14ac:dyDescent="0.35"/>
    <row r="919" customFormat="1" x14ac:dyDescent="0.35"/>
    <row r="920" customFormat="1" x14ac:dyDescent="0.35"/>
    <row r="921" customFormat="1" x14ac:dyDescent="0.35"/>
    <row r="922" customFormat="1" x14ac:dyDescent="0.35"/>
    <row r="923" customFormat="1" x14ac:dyDescent="0.35"/>
    <row r="924" customFormat="1" x14ac:dyDescent="0.35"/>
    <row r="925" customFormat="1" x14ac:dyDescent="0.35"/>
    <row r="926" customFormat="1" x14ac:dyDescent="0.35"/>
    <row r="927" customFormat="1" x14ac:dyDescent="0.35"/>
    <row r="928" customFormat="1" x14ac:dyDescent="0.35"/>
    <row r="929" customFormat="1" x14ac:dyDescent="0.35"/>
    <row r="930" customFormat="1" x14ac:dyDescent="0.35"/>
    <row r="931" customFormat="1" x14ac:dyDescent="0.35"/>
    <row r="932" customFormat="1" x14ac:dyDescent="0.35"/>
    <row r="933" customFormat="1" x14ac:dyDescent="0.35"/>
    <row r="934" customFormat="1" x14ac:dyDescent="0.35"/>
    <row r="935" customFormat="1" x14ac:dyDescent="0.35"/>
    <row r="936" customFormat="1" x14ac:dyDescent="0.35"/>
    <row r="937" customFormat="1" x14ac:dyDescent="0.35"/>
    <row r="938" customFormat="1" x14ac:dyDescent="0.35"/>
    <row r="939" customFormat="1" x14ac:dyDescent="0.35"/>
    <row r="940" customFormat="1" x14ac:dyDescent="0.35"/>
    <row r="941" customFormat="1" x14ac:dyDescent="0.35"/>
    <row r="942" customFormat="1" x14ac:dyDescent="0.35"/>
    <row r="943" customFormat="1" x14ac:dyDescent="0.35"/>
    <row r="944" customFormat="1" x14ac:dyDescent="0.35"/>
    <row r="945" customFormat="1" x14ac:dyDescent="0.35"/>
    <row r="946" customFormat="1" x14ac:dyDescent="0.35"/>
    <row r="947" customFormat="1" x14ac:dyDescent="0.35"/>
    <row r="948" customFormat="1" x14ac:dyDescent="0.35"/>
    <row r="949" customFormat="1" x14ac:dyDescent="0.35"/>
    <row r="950" customFormat="1" x14ac:dyDescent="0.35"/>
    <row r="951" customFormat="1" x14ac:dyDescent="0.35"/>
    <row r="952" customFormat="1" x14ac:dyDescent="0.35"/>
    <row r="953" customFormat="1" x14ac:dyDescent="0.35"/>
    <row r="954" customFormat="1" x14ac:dyDescent="0.35"/>
    <row r="955" customFormat="1" x14ac:dyDescent="0.35"/>
    <row r="956" customFormat="1" x14ac:dyDescent="0.35"/>
    <row r="957" customFormat="1" x14ac:dyDescent="0.35"/>
    <row r="958" customFormat="1" x14ac:dyDescent="0.35"/>
    <row r="959" customFormat="1" x14ac:dyDescent="0.35"/>
    <row r="960" customFormat="1" x14ac:dyDescent="0.35"/>
    <row r="961" customFormat="1" x14ac:dyDescent="0.35"/>
    <row r="962" customFormat="1" x14ac:dyDescent="0.35"/>
    <row r="963" customFormat="1" x14ac:dyDescent="0.35"/>
    <row r="964" customFormat="1" x14ac:dyDescent="0.35"/>
    <row r="965" customFormat="1" x14ac:dyDescent="0.35"/>
    <row r="966" customFormat="1" x14ac:dyDescent="0.35"/>
    <row r="967" customFormat="1" x14ac:dyDescent="0.35"/>
    <row r="968" customFormat="1" x14ac:dyDescent="0.35"/>
    <row r="969" customFormat="1" x14ac:dyDescent="0.35"/>
    <row r="970" customFormat="1" x14ac:dyDescent="0.35"/>
    <row r="971" customFormat="1" x14ac:dyDescent="0.35"/>
    <row r="972" customFormat="1" x14ac:dyDescent="0.35"/>
    <row r="973" customFormat="1" x14ac:dyDescent="0.35"/>
    <row r="974" customFormat="1" x14ac:dyDescent="0.35"/>
    <row r="975" customFormat="1" x14ac:dyDescent="0.35"/>
    <row r="976" customFormat="1" x14ac:dyDescent="0.35"/>
    <row r="977" customFormat="1" x14ac:dyDescent="0.35"/>
    <row r="978" customFormat="1" x14ac:dyDescent="0.35"/>
    <row r="979" customFormat="1" x14ac:dyDescent="0.35"/>
    <row r="980" customFormat="1" x14ac:dyDescent="0.35"/>
    <row r="981" customFormat="1" x14ac:dyDescent="0.35"/>
    <row r="982" customFormat="1" x14ac:dyDescent="0.35"/>
    <row r="983" customFormat="1" x14ac:dyDescent="0.35"/>
    <row r="984" customFormat="1" x14ac:dyDescent="0.35"/>
    <row r="985" customFormat="1" x14ac:dyDescent="0.35"/>
    <row r="986" customFormat="1" x14ac:dyDescent="0.35"/>
    <row r="987" customFormat="1" x14ac:dyDescent="0.35"/>
    <row r="988" customFormat="1" x14ac:dyDescent="0.35"/>
    <row r="989" customFormat="1" x14ac:dyDescent="0.35"/>
    <row r="990" customFormat="1" x14ac:dyDescent="0.35"/>
    <row r="991" customFormat="1" x14ac:dyDescent="0.35"/>
    <row r="992" customFormat="1" x14ac:dyDescent="0.35"/>
    <row r="993" customFormat="1" x14ac:dyDescent="0.35"/>
    <row r="994" customFormat="1" x14ac:dyDescent="0.35"/>
    <row r="995" customFormat="1" x14ac:dyDescent="0.35"/>
    <row r="996" customFormat="1" x14ac:dyDescent="0.35"/>
    <row r="997" customFormat="1" x14ac:dyDescent="0.35"/>
    <row r="998" customFormat="1" x14ac:dyDescent="0.35"/>
    <row r="999" customFormat="1" x14ac:dyDescent="0.35"/>
    <row r="1000" customFormat="1" x14ac:dyDescent="0.35"/>
    <row r="1001" customFormat="1" x14ac:dyDescent="0.35"/>
    <row r="1002" customFormat="1" x14ac:dyDescent="0.35"/>
    <row r="1003" customFormat="1" x14ac:dyDescent="0.35"/>
    <row r="1004" customFormat="1" x14ac:dyDescent="0.35"/>
    <row r="1005" customFormat="1" x14ac:dyDescent="0.35"/>
    <row r="1006" customFormat="1" x14ac:dyDescent="0.35"/>
    <row r="1007" customFormat="1" x14ac:dyDescent="0.35"/>
    <row r="1008" customFormat="1" x14ac:dyDescent="0.35"/>
    <row r="1009" customFormat="1" x14ac:dyDescent="0.35"/>
    <row r="1010" customFormat="1" x14ac:dyDescent="0.35"/>
    <row r="1011" customFormat="1" x14ac:dyDescent="0.35"/>
    <row r="1012" customFormat="1" x14ac:dyDescent="0.35"/>
    <row r="1013" customFormat="1" x14ac:dyDescent="0.35"/>
    <row r="1014" customFormat="1" x14ac:dyDescent="0.35"/>
    <row r="1015" customFormat="1" x14ac:dyDescent="0.35"/>
    <row r="1016" customFormat="1" x14ac:dyDescent="0.35"/>
    <row r="1017" customFormat="1" x14ac:dyDescent="0.35"/>
    <row r="1018" customFormat="1" x14ac:dyDescent="0.35"/>
    <row r="1019" customFormat="1" x14ac:dyDescent="0.35"/>
    <row r="1020" customFormat="1" x14ac:dyDescent="0.35"/>
    <row r="1021" customFormat="1" x14ac:dyDescent="0.35"/>
    <row r="1022" customFormat="1" x14ac:dyDescent="0.35"/>
    <row r="1023" customFormat="1" x14ac:dyDescent="0.35"/>
    <row r="1024" customFormat="1" x14ac:dyDescent="0.35"/>
    <row r="1025" customFormat="1" x14ac:dyDescent="0.35"/>
    <row r="1026" customFormat="1" x14ac:dyDescent="0.35"/>
    <row r="1027" customFormat="1" x14ac:dyDescent="0.35"/>
    <row r="1028" customFormat="1" x14ac:dyDescent="0.35"/>
    <row r="1029" customFormat="1" x14ac:dyDescent="0.35"/>
    <row r="1030" customFormat="1" x14ac:dyDescent="0.35"/>
    <row r="1031" customFormat="1" x14ac:dyDescent="0.35"/>
    <row r="1032" customFormat="1" x14ac:dyDescent="0.35"/>
    <row r="1033" customFormat="1" x14ac:dyDescent="0.35"/>
    <row r="1034" customFormat="1" x14ac:dyDescent="0.35"/>
    <row r="1035" customFormat="1" x14ac:dyDescent="0.35"/>
    <row r="1036" customFormat="1" x14ac:dyDescent="0.35"/>
    <row r="1037" customFormat="1" x14ac:dyDescent="0.35"/>
    <row r="1038" customFormat="1" x14ac:dyDescent="0.35"/>
    <row r="1039" customFormat="1" x14ac:dyDescent="0.35"/>
    <row r="1040" customFormat="1" x14ac:dyDescent="0.35"/>
    <row r="1041" customFormat="1" x14ac:dyDescent="0.35"/>
    <row r="1042" customFormat="1" x14ac:dyDescent="0.35"/>
    <row r="1043" customFormat="1" x14ac:dyDescent="0.35"/>
    <row r="1044" customFormat="1" x14ac:dyDescent="0.35"/>
    <row r="1045" customFormat="1" x14ac:dyDescent="0.35"/>
    <row r="1046" customFormat="1" x14ac:dyDescent="0.35"/>
    <row r="1047" customFormat="1" x14ac:dyDescent="0.35"/>
    <row r="1048" customFormat="1" x14ac:dyDescent="0.35"/>
    <row r="1049" customFormat="1" x14ac:dyDescent="0.35"/>
    <row r="1050" customFormat="1" x14ac:dyDescent="0.35"/>
    <row r="1051" customFormat="1" x14ac:dyDescent="0.35"/>
    <row r="1052" customFormat="1" x14ac:dyDescent="0.35"/>
    <row r="1053" customFormat="1" x14ac:dyDescent="0.35"/>
    <row r="1054" customFormat="1" x14ac:dyDescent="0.35"/>
    <row r="1055" customFormat="1" x14ac:dyDescent="0.35"/>
    <row r="1056" customFormat="1" x14ac:dyDescent="0.35"/>
    <row r="1057" customFormat="1" x14ac:dyDescent="0.35"/>
    <row r="1058" customFormat="1" x14ac:dyDescent="0.35"/>
    <row r="1059" customFormat="1" x14ac:dyDescent="0.35"/>
    <row r="1060" customFormat="1" x14ac:dyDescent="0.35"/>
    <row r="1061" customFormat="1" x14ac:dyDescent="0.35"/>
    <row r="1062" customFormat="1" x14ac:dyDescent="0.35"/>
    <row r="1063" customFormat="1" x14ac:dyDescent="0.35"/>
    <row r="1064" customFormat="1" x14ac:dyDescent="0.35"/>
    <row r="1065" customFormat="1" x14ac:dyDescent="0.35"/>
    <row r="1066" customFormat="1" x14ac:dyDescent="0.35"/>
    <row r="1067" customFormat="1" x14ac:dyDescent="0.35"/>
    <row r="1068" customFormat="1" x14ac:dyDescent="0.35"/>
    <row r="1069" customFormat="1" x14ac:dyDescent="0.35"/>
    <row r="1070" customFormat="1" x14ac:dyDescent="0.35"/>
    <row r="1071" customFormat="1" x14ac:dyDescent="0.35"/>
    <row r="1072" customFormat="1" x14ac:dyDescent="0.35"/>
    <row r="1073" customFormat="1" x14ac:dyDescent="0.35"/>
    <row r="1074" customFormat="1" x14ac:dyDescent="0.35"/>
    <row r="1075" customFormat="1" x14ac:dyDescent="0.35"/>
    <row r="1076" customFormat="1" x14ac:dyDescent="0.35"/>
    <row r="1077" customFormat="1" x14ac:dyDescent="0.35"/>
    <row r="1078" customFormat="1" x14ac:dyDescent="0.35"/>
    <row r="1079" customFormat="1" x14ac:dyDescent="0.35"/>
    <row r="1080" customFormat="1" x14ac:dyDescent="0.35"/>
    <row r="1081" customFormat="1" x14ac:dyDescent="0.35"/>
    <row r="1082" customFormat="1" x14ac:dyDescent="0.35"/>
    <row r="1083" customFormat="1" x14ac:dyDescent="0.35"/>
    <row r="1084" customFormat="1" x14ac:dyDescent="0.35"/>
    <row r="1085" customFormat="1" x14ac:dyDescent="0.35"/>
    <row r="1086" customFormat="1" x14ac:dyDescent="0.35"/>
    <row r="1087" customFormat="1" x14ac:dyDescent="0.35"/>
    <row r="1088" customFormat="1" x14ac:dyDescent="0.35"/>
    <row r="1089" customFormat="1" x14ac:dyDescent="0.35"/>
    <row r="1090" customFormat="1" x14ac:dyDescent="0.35"/>
    <row r="1091" customFormat="1" x14ac:dyDescent="0.35"/>
    <row r="1092" customFormat="1" x14ac:dyDescent="0.35"/>
    <row r="1093" customFormat="1" x14ac:dyDescent="0.35"/>
    <row r="1094" customFormat="1" x14ac:dyDescent="0.35"/>
    <row r="1095" customFormat="1" x14ac:dyDescent="0.35"/>
    <row r="1096" customFormat="1" x14ac:dyDescent="0.35"/>
    <row r="1097" customFormat="1" x14ac:dyDescent="0.35"/>
    <row r="1098" customFormat="1" x14ac:dyDescent="0.35"/>
    <row r="1099" customFormat="1" x14ac:dyDescent="0.35"/>
    <row r="1100" customFormat="1" x14ac:dyDescent="0.35"/>
    <row r="1101" customFormat="1" x14ac:dyDescent="0.35"/>
    <row r="1102" customFormat="1" x14ac:dyDescent="0.35"/>
    <row r="1103" customFormat="1" x14ac:dyDescent="0.35"/>
    <row r="1104" customFormat="1" x14ac:dyDescent="0.35"/>
    <row r="1105" customFormat="1" x14ac:dyDescent="0.35"/>
    <row r="1106" customFormat="1" x14ac:dyDescent="0.35"/>
    <row r="1107" customFormat="1" x14ac:dyDescent="0.35"/>
    <row r="1108" customFormat="1" x14ac:dyDescent="0.35"/>
    <row r="1109" customFormat="1" x14ac:dyDescent="0.35"/>
    <row r="1110" customFormat="1" x14ac:dyDescent="0.35"/>
    <row r="1111" customFormat="1" x14ac:dyDescent="0.35"/>
    <row r="1112" customFormat="1" x14ac:dyDescent="0.35"/>
    <row r="1113" customFormat="1" x14ac:dyDescent="0.35"/>
    <row r="1114" customFormat="1" x14ac:dyDescent="0.35"/>
    <row r="1115" customFormat="1" x14ac:dyDescent="0.35"/>
    <row r="1116" customFormat="1" x14ac:dyDescent="0.35"/>
    <row r="1117" customFormat="1" x14ac:dyDescent="0.35"/>
    <row r="1118" customFormat="1" x14ac:dyDescent="0.35"/>
    <row r="1119" customFormat="1" x14ac:dyDescent="0.35"/>
    <row r="1120" customFormat="1" x14ac:dyDescent="0.35"/>
    <row r="1121" customFormat="1" x14ac:dyDescent="0.35"/>
    <row r="1122" customFormat="1" x14ac:dyDescent="0.35"/>
    <row r="1123" customFormat="1" x14ac:dyDescent="0.35"/>
    <row r="1124" customFormat="1" x14ac:dyDescent="0.35"/>
    <row r="1125" customFormat="1" x14ac:dyDescent="0.35"/>
    <row r="1126" customFormat="1" x14ac:dyDescent="0.35"/>
    <row r="1127" customFormat="1" x14ac:dyDescent="0.35"/>
    <row r="1128" customFormat="1" x14ac:dyDescent="0.35"/>
    <row r="1129" customFormat="1" x14ac:dyDescent="0.35"/>
    <row r="1130" customFormat="1" x14ac:dyDescent="0.35"/>
    <row r="1131" customFormat="1" x14ac:dyDescent="0.35"/>
    <row r="1132" customFormat="1" x14ac:dyDescent="0.35"/>
    <row r="1133" customFormat="1" x14ac:dyDescent="0.35"/>
    <row r="1134" customFormat="1" x14ac:dyDescent="0.35"/>
    <row r="1135" customFormat="1" x14ac:dyDescent="0.35"/>
    <row r="1136" customFormat="1" x14ac:dyDescent="0.35"/>
    <row r="1137" customFormat="1" x14ac:dyDescent="0.35"/>
    <row r="1138" customFormat="1" x14ac:dyDescent="0.35"/>
    <row r="1139" customFormat="1" x14ac:dyDescent="0.35"/>
    <row r="1140" customFormat="1" x14ac:dyDescent="0.35"/>
    <row r="1141" customFormat="1" x14ac:dyDescent="0.35"/>
    <row r="1142" customFormat="1" x14ac:dyDescent="0.35"/>
    <row r="1143" customFormat="1" x14ac:dyDescent="0.35"/>
    <row r="1144" customFormat="1" x14ac:dyDescent="0.35"/>
    <row r="1145" customFormat="1" x14ac:dyDescent="0.35"/>
    <row r="1146" customFormat="1" x14ac:dyDescent="0.35"/>
    <row r="1147" customFormat="1" x14ac:dyDescent="0.35"/>
    <row r="1148" customFormat="1" x14ac:dyDescent="0.35"/>
    <row r="1149" customFormat="1" x14ac:dyDescent="0.35"/>
    <row r="1150" customFormat="1" x14ac:dyDescent="0.35"/>
    <row r="1151" customFormat="1" x14ac:dyDescent="0.35"/>
    <row r="1152" customFormat="1" x14ac:dyDescent="0.35"/>
    <row r="1153" customFormat="1" x14ac:dyDescent="0.35"/>
    <row r="1154" customFormat="1" x14ac:dyDescent="0.35"/>
    <row r="1155" customFormat="1" x14ac:dyDescent="0.35"/>
    <row r="1156" customFormat="1" x14ac:dyDescent="0.35"/>
    <row r="1157" customFormat="1" x14ac:dyDescent="0.35"/>
    <row r="1158" customFormat="1" x14ac:dyDescent="0.35"/>
    <row r="1159" customFormat="1" x14ac:dyDescent="0.35"/>
    <row r="1160" customFormat="1" x14ac:dyDescent="0.35"/>
    <row r="1161" customFormat="1" x14ac:dyDescent="0.35"/>
    <row r="1162" customFormat="1" x14ac:dyDescent="0.35"/>
    <row r="1163" customFormat="1" x14ac:dyDescent="0.35"/>
    <row r="1164" customFormat="1" x14ac:dyDescent="0.35"/>
    <row r="1165" customFormat="1" x14ac:dyDescent="0.35"/>
    <row r="1166" customFormat="1" x14ac:dyDescent="0.35"/>
    <row r="1167" customFormat="1" x14ac:dyDescent="0.35"/>
    <row r="1168" customFormat="1" x14ac:dyDescent="0.35"/>
    <row r="1169" customFormat="1" x14ac:dyDescent="0.35"/>
    <row r="1170" customFormat="1" x14ac:dyDescent="0.35"/>
    <row r="1171" customFormat="1" x14ac:dyDescent="0.35"/>
    <row r="1172" customFormat="1" x14ac:dyDescent="0.35"/>
    <row r="1173" customFormat="1" x14ac:dyDescent="0.35"/>
    <row r="1174" customFormat="1" x14ac:dyDescent="0.35"/>
    <row r="1175" customFormat="1" x14ac:dyDescent="0.35"/>
    <row r="1176" customFormat="1" x14ac:dyDescent="0.35"/>
    <row r="1177" customFormat="1" x14ac:dyDescent="0.35"/>
    <row r="1178" customFormat="1" x14ac:dyDescent="0.35"/>
    <row r="1179" customFormat="1" x14ac:dyDescent="0.35"/>
    <row r="1180" customFormat="1" x14ac:dyDescent="0.35"/>
    <row r="1181" customFormat="1" x14ac:dyDescent="0.35"/>
    <row r="1182" customFormat="1" x14ac:dyDescent="0.35"/>
    <row r="1183" customFormat="1" x14ac:dyDescent="0.35"/>
    <row r="1184" customFormat="1" x14ac:dyDescent="0.35"/>
    <row r="1185" customFormat="1" x14ac:dyDescent="0.35"/>
    <row r="1186" customFormat="1" x14ac:dyDescent="0.35"/>
    <row r="1187" customFormat="1" x14ac:dyDescent="0.35"/>
    <row r="1188" customFormat="1" x14ac:dyDescent="0.35"/>
    <row r="1189" customFormat="1" x14ac:dyDescent="0.35"/>
    <row r="1190" customFormat="1" x14ac:dyDescent="0.35"/>
    <row r="1191" customFormat="1" x14ac:dyDescent="0.35"/>
    <row r="1192" customFormat="1" x14ac:dyDescent="0.35"/>
    <row r="1193" customFormat="1" x14ac:dyDescent="0.35"/>
    <row r="1194" customFormat="1" x14ac:dyDescent="0.35"/>
    <row r="1195" customFormat="1" x14ac:dyDescent="0.35"/>
    <row r="1196" customFormat="1" x14ac:dyDescent="0.35"/>
    <row r="1197" customFormat="1" x14ac:dyDescent="0.35"/>
    <row r="1198" customFormat="1" x14ac:dyDescent="0.35"/>
    <row r="1199" customFormat="1" x14ac:dyDescent="0.35"/>
    <row r="1200" customFormat="1" x14ac:dyDescent="0.35"/>
    <row r="1201" customFormat="1" x14ac:dyDescent="0.35"/>
    <row r="1202" customFormat="1" x14ac:dyDescent="0.35"/>
    <row r="1203" customFormat="1" x14ac:dyDescent="0.35"/>
    <row r="1204" customFormat="1" x14ac:dyDescent="0.35"/>
    <row r="1205" customFormat="1" x14ac:dyDescent="0.35"/>
    <row r="1206" customFormat="1" x14ac:dyDescent="0.35"/>
    <row r="1207" customFormat="1" x14ac:dyDescent="0.35"/>
    <row r="1208" customFormat="1" x14ac:dyDescent="0.35"/>
    <row r="1209" customFormat="1" x14ac:dyDescent="0.35"/>
    <row r="1210" customFormat="1" x14ac:dyDescent="0.35"/>
    <row r="1211" customFormat="1" x14ac:dyDescent="0.35"/>
    <row r="1212" customFormat="1" x14ac:dyDescent="0.35"/>
    <row r="1213" customFormat="1" x14ac:dyDescent="0.35"/>
    <row r="1214" customFormat="1" x14ac:dyDescent="0.35"/>
    <row r="1215" customFormat="1" x14ac:dyDescent="0.35"/>
    <row r="1216" customFormat="1" x14ac:dyDescent="0.35"/>
    <row r="1217" customFormat="1" x14ac:dyDescent="0.35"/>
    <row r="1218" customFormat="1" x14ac:dyDescent="0.35"/>
    <row r="1219" customFormat="1" x14ac:dyDescent="0.35"/>
    <row r="1220" customFormat="1" x14ac:dyDescent="0.35"/>
    <row r="1221" customFormat="1" x14ac:dyDescent="0.35"/>
    <row r="1222" customFormat="1" x14ac:dyDescent="0.35"/>
    <row r="1223" customFormat="1" x14ac:dyDescent="0.35"/>
    <row r="1224" customFormat="1" x14ac:dyDescent="0.35"/>
    <row r="1225" customFormat="1" x14ac:dyDescent="0.35"/>
    <row r="1226" customFormat="1" x14ac:dyDescent="0.35"/>
    <row r="1227" customFormat="1" x14ac:dyDescent="0.35"/>
    <row r="1228" customFormat="1" x14ac:dyDescent="0.35"/>
    <row r="1229" customFormat="1" x14ac:dyDescent="0.35"/>
    <row r="1230" customFormat="1" x14ac:dyDescent="0.35"/>
    <row r="1231" customFormat="1" x14ac:dyDescent="0.35"/>
    <row r="1232" customFormat="1" x14ac:dyDescent="0.35"/>
    <row r="1233" customFormat="1" x14ac:dyDescent="0.35"/>
    <row r="1234" customFormat="1" x14ac:dyDescent="0.35"/>
    <row r="1235" customFormat="1" x14ac:dyDescent="0.35"/>
    <row r="1236" customFormat="1" x14ac:dyDescent="0.35"/>
    <row r="1237" customFormat="1" x14ac:dyDescent="0.35"/>
    <row r="1238" customFormat="1" x14ac:dyDescent="0.35"/>
    <row r="1239" customFormat="1" x14ac:dyDescent="0.35"/>
    <row r="1240" customFormat="1" x14ac:dyDescent="0.35"/>
    <row r="1241" customFormat="1" x14ac:dyDescent="0.35"/>
    <row r="1242" customFormat="1" x14ac:dyDescent="0.35"/>
    <row r="1243" customFormat="1" x14ac:dyDescent="0.35"/>
    <row r="1244" customFormat="1" x14ac:dyDescent="0.35"/>
    <row r="1245" customFormat="1" x14ac:dyDescent="0.35"/>
    <row r="1246" customFormat="1" x14ac:dyDescent="0.35"/>
    <row r="1247" customFormat="1" x14ac:dyDescent="0.35"/>
    <row r="1248" customFormat="1" x14ac:dyDescent="0.35"/>
    <row r="1249" customFormat="1" x14ac:dyDescent="0.35"/>
    <row r="1250" customFormat="1" x14ac:dyDescent="0.35"/>
  </sheetData>
  <conditionalFormatting sqref="C2:C10">
    <cfRule type="duplicateValues" dxfId="9" priority="5"/>
    <cfRule type="duplicateValues" dxfId="8" priority="6"/>
    <cfRule type="duplicateValues" dxfId="7" priority="7"/>
    <cfRule type="duplicateValues" dxfId="6" priority="8"/>
  </conditionalFormatting>
  <pageMargins left="0.7" right="0.7" top="0.75" bottom="0.75" header="0.3" footer="0.3"/>
  <ignoredErrors>
    <ignoredError sqref="X2:X10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Cruce_ventas_hora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Andrés Gutiérrez Vivius</dc:creator>
  <cp:lastModifiedBy>Alfredo Andrés Gutiérrez Vivius</cp:lastModifiedBy>
  <dcterms:created xsi:type="dcterms:W3CDTF">2026-04-10T20:50:38Z</dcterms:created>
  <dcterms:modified xsi:type="dcterms:W3CDTF">2026-04-10T21:05:54Z</dcterms:modified>
</cp:coreProperties>
</file>