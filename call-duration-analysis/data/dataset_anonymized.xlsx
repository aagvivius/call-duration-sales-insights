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10 Analisis de datos volumen y duracion de llamada\01 Proyecto AHT\03 Data\"/>
    </mc:Choice>
  </mc:AlternateContent>
  <xr:revisionPtr revIDLastSave="0" documentId="13_ncr:1_{07DE37C2-55F7-4C4F-B754-335F6A5BA649}" xr6:coauthVersionLast="47" xr6:coauthVersionMax="47" xr10:uidLastSave="{00000000-0000-0000-0000-000000000000}"/>
  <bookViews>
    <workbookView xWindow="-110" yWindow="-110" windowWidth="19420" windowHeight="10300" xr2:uid="{51258A54-3C9E-4664-8A28-FC28572740D3}"/>
  </bookViews>
  <sheets>
    <sheet name="Cruce_ventas_ho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S2" i="1"/>
  <c r="S3" i="1"/>
  <c r="S4" i="1"/>
  <c r="S5" i="1"/>
  <c r="S6" i="1"/>
  <c r="S7" i="1"/>
  <c r="S8" i="1"/>
  <c r="S9" i="1"/>
  <c r="S10" i="1"/>
  <c r="R2" i="1"/>
  <c r="R3" i="1"/>
  <c r="R4" i="1"/>
  <c r="R5" i="1"/>
  <c r="R6" i="1"/>
  <c r="R7" i="1"/>
  <c r="R8" i="1"/>
  <c r="R9" i="1"/>
  <c r="R10" i="1"/>
  <c r="Q2" i="1"/>
  <c r="Q3" i="1"/>
  <c r="Q4" i="1"/>
  <c r="Q5" i="1"/>
  <c r="Q6" i="1"/>
  <c r="Q7" i="1"/>
  <c r="Q8" i="1"/>
  <c r="Q9" i="1"/>
  <c r="Q10" i="1"/>
  <c r="L2" i="1"/>
  <c r="L3" i="1"/>
  <c r="L4" i="1"/>
  <c r="L5" i="1"/>
  <c r="L6" i="1"/>
  <c r="L7" i="1"/>
  <c r="L8" i="1"/>
  <c r="L9" i="1"/>
  <c r="L10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K5" i="1"/>
  <c r="J5" i="1"/>
  <c r="M5" i="1" s="1"/>
  <c r="I5" i="1"/>
  <c r="K4" i="1"/>
  <c r="J4" i="1"/>
  <c r="I4" i="1"/>
  <c r="K3" i="1"/>
  <c r="J3" i="1"/>
  <c r="M3" i="1" s="1"/>
  <c r="I3" i="1"/>
  <c r="K2" i="1"/>
  <c r="J2" i="1"/>
  <c r="I2" i="1"/>
  <c r="M7" i="1" l="1"/>
  <c r="O4" i="1"/>
  <c r="M10" i="1"/>
  <c r="M9" i="1"/>
  <c r="M8" i="1"/>
  <c r="M6" i="1"/>
  <c r="M4" i="1"/>
  <c r="M2" i="1"/>
  <c r="O10" i="1"/>
  <c r="O8" i="1"/>
  <c r="O6" i="1"/>
  <c r="O2" i="1"/>
  <c r="P3" i="1"/>
  <c r="P5" i="1"/>
  <c r="P7" i="1"/>
  <c r="P9" i="1"/>
  <c r="O3" i="1"/>
  <c r="O5" i="1"/>
  <c r="O7" i="1"/>
  <c r="O9" i="1"/>
  <c r="P2" i="1"/>
  <c r="P4" i="1"/>
  <c r="P6" i="1"/>
  <c r="P8" i="1"/>
  <c r="P10" i="1"/>
  <c r="U10" i="1" l="1"/>
  <c r="V10" i="1" s="1"/>
  <c r="T9" i="1"/>
  <c r="U7" i="1"/>
  <c r="V7" i="1" s="1"/>
  <c r="T3" i="1"/>
  <c r="U5" i="1"/>
  <c r="V5" i="1" s="1"/>
  <c r="U4" i="1"/>
  <c r="V4" i="1" s="1"/>
  <c r="T8" i="1"/>
  <c r="T2" i="1"/>
  <c r="T5" i="1"/>
  <c r="T10" i="1" l="1"/>
  <c r="U9" i="1"/>
  <c r="V9" i="1" s="1"/>
  <c r="U8" i="1"/>
  <c r="V8" i="1" s="1"/>
  <c r="U2" i="1"/>
  <c r="V2" i="1" s="1"/>
  <c r="U3" i="1"/>
  <c r="V3" i="1" s="1"/>
  <c r="U6" i="1"/>
  <c r="V6" i="1" s="1"/>
  <c r="T7" i="1"/>
  <c r="T4" i="1"/>
  <c r="T6" i="1"/>
</calcChain>
</file>

<file path=xl/sharedStrings.xml><?xml version="1.0" encoding="utf-8"?>
<sst xmlns="http://schemas.openxmlformats.org/spreadsheetml/2006/main" count="78" uniqueCount="51">
  <si>
    <t>Date</t>
  </si>
  <si>
    <t>Agent</t>
  </si>
  <si>
    <t>PhoneNumber</t>
  </si>
  <si>
    <t>Queue</t>
  </si>
  <si>
    <t>Brand</t>
  </si>
  <si>
    <t>Sale Made</t>
  </si>
  <si>
    <t>AccountNumber</t>
  </si>
  <si>
    <t>ESIID</t>
  </si>
  <si>
    <t>Fecha</t>
  </si>
  <si>
    <t>Numero</t>
  </si>
  <si>
    <t>Numero_cuenta</t>
  </si>
  <si>
    <t>ESSID</t>
  </si>
  <si>
    <t>Match_Numero_Cuenta</t>
  </si>
  <si>
    <t>Usuario_ID_Roster</t>
  </si>
  <si>
    <t>Llave_agente_telefono_cuenta_ESSID</t>
  </si>
  <si>
    <t>Llave_fecha_telefono_agente</t>
  </si>
  <si>
    <t>Duracion_llamada</t>
  </si>
  <si>
    <t>Tiempo_espera_llamada</t>
  </si>
  <si>
    <t>Tiempo_despues_llamada</t>
  </si>
  <si>
    <t>Match_llamada_venta</t>
  </si>
  <si>
    <t>Tiempo_total</t>
  </si>
  <si>
    <t>Intervalo</t>
  </si>
  <si>
    <t>Tipo_venta</t>
  </si>
  <si>
    <t>Venta</t>
  </si>
  <si>
    <t>Sale</t>
  </si>
  <si>
    <t>YesDeposit</t>
  </si>
  <si>
    <t>Renewal</t>
  </si>
  <si>
    <t>Jhon Doe</t>
  </si>
  <si>
    <t>Martha Doe</t>
  </si>
  <si>
    <t>Nicholas Doe</t>
  </si>
  <si>
    <t>Richard Doe</t>
  </si>
  <si>
    <t>Anggie Doe</t>
  </si>
  <si>
    <t>Mike Doe</t>
  </si>
  <si>
    <t>Patricia Doe</t>
  </si>
  <si>
    <t>George Doe</t>
  </si>
  <si>
    <t>David doe</t>
  </si>
  <si>
    <t>jhondoe</t>
  </si>
  <si>
    <t>marthadoe</t>
  </si>
  <si>
    <t>nicholasdoe</t>
  </si>
  <si>
    <t>richarddoe</t>
  </si>
  <si>
    <t>anggiedoe</t>
  </si>
  <si>
    <t>mikedoe</t>
  </si>
  <si>
    <t>patriciadoe</t>
  </si>
  <si>
    <t>georgedoe</t>
  </si>
  <si>
    <t>daviddoe</t>
  </si>
  <si>
    <t>ResElect</t>
  </si>
  <si>
    <t>FactElect</t>
  </si>
  <si>
    <t>FactElectRenew</t>
  </si>
  <si>
    <t>ResSunConnect</t>
  </si>
  <si>
    <t>ResElectRenew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</si>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</sst>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164" formatCode="hh:mm:ss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/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ck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C3C80D-AEB4-4AE3-9A89-94266AB23C30}" name="Cruce_ventas_hora" displayName="Cruce_ventas_hora" ref="A1:X10" totalsRowShown="0" headerRowDxfId="29" dataDxfId="28">
  <autoFilter ref="A1:X10" xr:uid="{76BD3B0F-3C3E-4C8D-90DA-4E707E077568}"/>
  <tableColumns count="24">
    <tableColumn id="1" xr3:uid="{280339B7-FE1F-4BFA-A334-709288F9FAE9}" name="Date" dataDxfId="27"/>
    <tableColumn id="2" xr3:uid="{7EBEF339-FF78-475E-9FA9-45F3BCB63508}" name="Agent" dataDxfId="26"/>
    <tableColumn id="3" xr3:uid="{1318BC0A-F2D7-4F76-A6DC-FD6B8FC766F6}" name="PhoneNumber" dataDxfId="25"/>
    <tableColumn id="4" xr3:uid="{9508E7C8-FA21-4161-8B34-1E9B028C6D68}" name="Queue" dataDxfId="24"/>
    <tableColumn id="6" xr3:uid="{4010D700-C28D-421E-80F2-266EB3818AB9}" name="Brand" dataDxfId="23"/>
    <tableColumn id="7" xr3:uid="{DABFE3C1-78CE-4C45-A614-CB27293F0FC1}" name="Sale Made" dataDxfId="22"/>
    <tableColumn id="8" xr3:uid="{AAFC75D8-78F6-4F1A-81A2-21887FF0EE75}" name="AccountNumber" dataDxfId="21"/>
    <tableColumn id="9" xr3:uid="{C706B437-4E77-49A8-80BA-E8B01F338446}" name="ESIID" dataDxfId="20"/>
    <tableColumn id="15" xr3:uid="{1E7CDAE2-CA7D-411F-9F04-6504AA84D145}" name="Fecha" dataDxfId="19">
      <calculatedColumnFormula>DATE(TEXT(A2,"yyyy"),TEXT(A2,"mm"),TEXT(A2,"dd"))</calculatedColumnFormula>
    </tableColumn>
    <tableColumn id="16" xr3:uid="{3698C7C9-95F8-4691-86D5-93F3171B8A33}" name="Numero" dataDxfId="18">
      <calculatedColumnFormula>_xlfn.NUMBERVALUE(Cruce_ventas_hora[[#This Row],[PhoneNumber]])</calculatedColumnFormula>
    </tableColumn>
    <tableColumn id="21" xr3:uid="{9F12180F-9C72-4E6D-B143-4859610817E1}" name="Numero_cuenta" dataDxfId="17">
      <calculatedColumnFormula>IF(ISNUMBER(Cruce_ventas_hora[[#This Row],[AccountNumber]]),_xlfn.NUMBERVALUE(Cruce_ventas_hora[[#This Row],[AccountNumber]]),Cruce_ventas_hora[[#This Row],[AccountNumber]])</calculatedColumnFormula>
    </tableColumn>
    <tableColumn id="22" xr3:uid="{0CD66014-132C-41EC-9913-CC5A022BF774}" name="ESSID" dataDxfId="16">
      <calculatedColumnFormula>IF(ISNUMBER(Cruce_ventas_hora[[#This Row],[ESIID]]),_xlfn.NUMBERVALUE(Cruce_ventas_hora[[#This Row],[ESIID]]),"Error")</calculatedColumnFormula>
    </tableColumn>
    <tableColumn id="10" xr3:uid="{6ABC483F-BF80-4727-89D3-E378AC9072C2}" name="Match_Numero_Cuenta" dataDxfId="15">
      <calculatedColumnFormula>IF(Cruce_ventas_hora[[#This Row],[Numero]]=Cruce_ventas_hora[[#This Row],[Numero_cuenta]],1,0)</calculatedColumnFormula>
    </tableColumn>
    <tableColumn id="11" xr3:uid="{9424029D-9386-4DBF-84FE-D53543F05AD2}" name="Usuario_ID_Roster" dataDxfId="14"/>
    <tableColumn id="12" xr3:uid="{5A48204A-B444-4187-8B7C-34D176272FAC}" name="Llave_agente_telefono_cuenta_ESSID" dataDxfId="13">
      <calculatedColumnFormula>CONCATENATE(Cruce_ventas_hora[[#This Row],[Usuario_ID_Roster]],Cruce_ventas_hora[[#This Row],[Numero]],Cruce_ventas_hora[[#This Row],[Numero_cuenta]],Cruce_ventas_hora[[#This Row],[ESSID]])</calculatedColumnFormula>
    </tableColumn>
    <tableColumn id="13" xr3:uid="{B6F0A9FC-B5A0-476D-AED2-73FD1B98F2AB}" name="Llave_fecha_telefono_agente" dataDxfId="12">
      <calculatedColumnFormula>CONCATENATE(Cruce_ventas_hora[[#This Row],[Fecha]],Cruce_ventas_hora[[#This Row],[Numero]],Cruce_ventas_hora[[#This Row],[Usuario_ID_Roster]])</calculatedColumnFormula>
    </tableColumn>
    <tableColumn id="14" xr3:uid="{C0228CEE-EFEB-4400-9B98-788D04B63F3F}" name="Duracion_llamada" dataDxfId="11">
      <calculatedColumnFormula>RAND()</calculatedColumnFormula>
    </tableColumn>
    <tableColumn id="17" xr3:uid="{233F397F-C6F4-42BF-AE82-9B9A1D0ABCEF}" name="Tiempo_espera_llamada" dataDxfId="10">
      <calculatedColumnFormula>RAND()</calculatedColumnFormula>
    </tableColumn>
    <tableColumn id="18" xr3:uid="{7906323D-CE0A-48B1-9940-E0DBCEFA58AC}" name="Tiempo_despues_llamada" dataDxfId="9">
      <calculatedColumnFormula>RAND()</calculatedColumnFormula>
    </tableColumn>
    <tableColumn id="19" xr3:uid="{D83670DD-A395-49B5-B3BD-6616CF15E840}" name="Match_llamada_venta" dataDxfId="8">
      <calculatedColumnFormula>IF(Cruce_ventas_hora[[#This Row],[Duracion_llamada]]="Error",1,0)</calculatedColumnFormula>
    </tableColumn>
    <tableColumn id="20" xr3:uid="{87C782B7-AFD7-4CA8-B3A9-0B5205C22898}" name="Tiempo_total" dataDxfId="7">
      <calculatedColumnFormula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calculatedColumnFormula>
    </tableColumn>
    <tableColumn id="23" xr3:uid="{B0588723-C4A7-451A-9191-AD0DA26593A9}" name="Intervalo" dataDxfId="6">
      <calculatedColumnFormula>IFERROR(FLOOR(Cruce_ventas_hora[[#This Row],[Tiempo_total]],5),"Error")</calculatedColumnFormula>
    </tableColumn>
    <tableColumn id="24" xr3:uid="{741C1F2D-BAD5-4AAA-868E-EEB51FFD9C1E}" name="Tipo_venta" dataDxfId="5"/>
    <tableColumn id="25" xr3:uid="{15753834-41AF-409F-9446-28A3CD4B228F}" name="Venta" dataDxfId="4">
      <calculatedColumnFormula>IF(Cruce_ventas_hora[[#This Row],[Tipo_venta]]="Sale",1,0)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670C6-E02D-4DDA-873D-6BFA89BE5751}">
  <dimension ref="A1:X1250"/>
  <sheetViews>
    <sheetView showGridLines="0" tabSelected="1" zoomScale="120" zoomScaleNormal="120" workbookViewId="0">
      <selection activeCell="A10" sqref="A10"/>
    </sheetView>
  </sheetViews>
  <sheetFormatPr defaultRowHeight="14.5" x14ac:dyDescent="0.35"/>
  <cols>
    <col min="1" max="1" width="10.08984375" style="1" bestFit="1" customWidth="1"/>
    <col min="2" max="2" width="11.54296875" style="1" bestFit="1" customWidth="1"/>
    <col min="3" max="3" width="17.453125" style="1" bestFit="1" customWidth="1"/>
    <col min="4" max="4" width="10.81640625" style="1" bestFit="1" customWidth="1"/>
    <col min="5" max="5" width="14" style="1" bestFit="1" customWidth="1"/>
    <col min="6" max="6" width="13.90625" style="1" bestFit="1" customWidth="1"/>
    <col min="7" max="7" width="19.08984375" style="1" bestFit="1" customWidth="1"/>
    <col min="8" max="8" width="12.90625" style="1" bestFit="1" customWidth="1"/>
    <col min="9" max="9" width="10.81640625" style="1" bestFit="1" customWidth="1"/>
    <col min="10" max="10" width="12.81640625" style="1" bestFit="1" customWidth="1"/>
    <col min="11" max="11" width="18.7265625" style="1" bestFit="1" customWidth="1"/>
    <col min="12" max="12" width="12.90625" style="1" bestFit="1" customWidth="1"/>
    <col min="13" max="13" width="8.7265625" style="1"/>
    <col min="14" max="14" width="20.7265625" style="1" bestFit="1" customWidth="1"/>
    <col min="15" max="15" width="41.26953125" style="1" bestFit="1" customWidth="1"/>
    <col min="16" max="16" width="29.81640625" style="1" bestFit="1" customWidth="1"/>
    <col min="17" max="17" width="20.7265625" style="1" bestFit="1" customWidth="1"/>
    <col min="18" max="18" width="25.90625" style="1" bestFit="1" customWidth="1"/>
    <col min="19" max="19" width="27.36328125" style="1" bestFit="1" customWidth="1"/>
    <col min="20" max="20" width="6.54296875" style="1" bestFit="1" customWidth="1"/>
    <col min="21" max="21" width="13.90625" style="1" bestFit="1" customWidth="1"/>
    <col min="22" max="22" width="10.453125" style="1" bestFit="1" customWidth="1"/>
    <col min="23" max="23" width="19" style="1" bestFit="1" customWidth="1"/>
    <col min="24" max="24" width="8.7265625" style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5">
      <c r="A2" s="5">
        <v>30192</v>
      </c>
      <c r="B2" s="1" t="s">
        <v>27</v>
      </c>
      <c r="C2" s="1">
        <v>1234567891</v>
      </c>
      <c r="D2" s="1" t="s">
        <v>24</v>
      </c>
      <c r="E2" s="1" t="s">
        <v>45</v>
      </c>
      <c r="F2" s="1" t="s">
        <v>25</v>
      </c>
      <c r="G2" s="1">
        <v>99989796</v>
      </c>
      <c r="H2" s="10">
        <v>968030588800</v>
      </c>
      <c r="I2" s="6">
        <f t="shared" ref="I2:I10" si="0">DATE(TEXT(A2,"yyyy"),TEXT(A2,"mm"),TEXT(A2,"dd"))</f>
        <v>30192</v>
      </c>
      <c r="J2" s="1">
        <f>_xlfn.NUMBERVALUE(Cruce_ventas_hora[[#This Row],[PhoneNumber]])</f>
        <v>1234567891</v>
      </c>
      <c r="K2" s="1">
        <f>IF(ISNUMBER(Cruce_ventas_hora[[#This Row],[AccountNumber]]),_xlfn.NUMBERVALUE(Cruce_ventas_hora[[#This Row],[AccountNumber]]),Cruce_ventas_hora[[#This Row],[AccountNumber]])</f>
        <v>99989796</v>
      </c>
      <c r="L2" s="7">
        <f>IF(ISNUMBER(Cruce_ventas_hora[[#This Row],[ESIID]]),_xlfn.NUMBERVALUE(Cruce_ventas_hora[[#This Row],[ESIID]]),"Error")</f>
        <v>968030588800</v>
      </c>
      <c r="M2" s="1">
        <f>IF(Cruce_ventas_hora[[#This Row],[Numero]]=Cruce_ventas_hora[[#This Row],[Numero_cuenta]],1,0)</f>
        <v>0</v>
      </c>
      <c r="N2" s="1" t="s">
        <v>36</v>
      </c>
      <c r="O2" s="1" t="str">
        <f>CONCATENATE(Cruce_ventas_hora[[#This Row],[Usuario_ID_Roster]],Cruce_ventas_hora[[#This Row],[Numero]],Cruce_ventas_hora[[#This Row],[Numero_cuenta]],Cruce_ventas_hora[[#This Row],[ESSID]])</f>
        <v>jhondoe123456789199989796968030588800</v>
      </c>
      <c r="P2" s="1" t="str">
        <f>CONCATENATE(Cruce_ventas_hora[[#This Row],[Fecha]],Cruce_ventas_hora[[#This Row],[Numero]],Cruce_ventas_hora[[#This Row],[Usuario_ID_Roster]])</f>
        <v>301921234567891jhondoe</v>
      </c>
      <c r="Q2" s="8">
        <f t="shared" ref="Q2:Q10" ca="1" si="1">RAND()</f>
        <v>0.50921443431383084</v>
      </c>
      <c r="R2" s="8">
        <f t="shared" ref="R2:R10" ca="1" si="2">RAND()</f>
        <v>1.0364434223991137E-2</v>
      </c>
      <c r="S2" s="8">
        <f t="shared" ref="S2:S10" ca="1" si="3">RAND()</f>
        <v>0.57823411228360722</v>
      </c>
      <c r="T2" s="1">
        <f ca="1">IF(Cruce_ventas_hora[[#This Row],[Duracion_llamada]]="Error",1,0)</f>
        <v>0</v>
      </c>
      <c r="U2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140.85</v>
      </c>
      <c r="V2" s="1">
        <f ca="1">IFERROR(FLOOR(Cruce_ventas_hora[[#This Row],[Tiempo_total]],5),"Error")</f>
        <v>140</v>
      </c>
      <c r="W2" s="1" t="s">
        <v>24</v>
      </c>
      <c r="X2" s="1">
        <f>IF(Cruce_ventas_hora[[#This Row],[Tipo_venta]]="Sale",1,0)</f>
        <v>1</v>
      </c>
    </row>
    <row r="3" spans="1:24" x14ac:dyDescent="0.35">
      <c r="A3" s="5">
        <v>35354</v>
      </c>
      <c r="B3" s="1" t="s">
        <v>28</v>
      </c>
      <c r="C3" s="1">
        <v>1011121314</v>
      </c>
      <c r="D3" s="1" t="s">
        <v>24</v>
      </c>
      <c r="E3" s="1" t="s">
        <v>45</v>
      </c>
      <c r="F3" s="1" t="s">
        <v>50</v>
      </c>
      <c r="G3" s="1">
        <v>95949392</v>
      </c>
      <c r="H3" s="10">
        <v>43832247800</v>
      </c>
      <c r="I3" s="6">
        <f t="shared" si="0"/>
        <v>35354</v>
      </c>
      <c r="J3" s="1">
        <f>_xlfn.NUMBERVALUE(Cruce_ventas_hora[[#This Row],[PhoneNumber]])</f>
        <v>1011121314</v>
      </c>
      <c r="K3" s="1">
        <f>IF(ISNUMBER(Cruce_ventas_hora[[#This Row],[AccountNumber]]),_xlfn.NUMBERVALUE(Cruce_ventas_hora[[#This Row],[AccountNumber]]),Cruce_ventas_hora[[#This Row],[AccountNumber]])</f>
        <v>95949392</v>
      </c>
      <c r="L3" s="7">
        <f>IF(ISNUMBER(Cruce_ventas_hora[[#This Row],[ESIID]]),_xlfn.NUMBERVALUE(Cruce_ventas_hora[[#This Row],[ESIID]]),"Error")</f>
        <v>43832247800</v>
      </c>
      <c r="M3" s="1">
        <f>IF(Cruce_ventas_hora[[#This Row],[Numero]]=Cruce_ventas_hora[[#This Row],[Numero_cuenta]],1,0)</f>
        <v>0</v>
      </c>
      <c r="N3" s="1" t="s">
        <v>37</v>
      </c>
      <c r="O3" s="1" t="str">
        <f>CONCATENATE(Cruce_ventas_hora[[#This Row],[Usuario_ID_Roster]],Cruce_ventas_hora[[#This Row],[Numero]],Cruce_ventas_hora[[#This Row],[Numero_cuenta]],Cruce_ventas_hora[[#This Row],[ESSID]])</f>
        <v>marthadoe10111213149594939243832247800</v>
      </c>
      <c r="P3" s="1" t="str">
        <f>CONCATENATE(Cruce_ventas_hora[[#This Row],[Fecha]],Cruce_ventas_hora[[#This Row],[Numero]],Cruce_ventas_hora[[#This Row],[Usuario_ID_Roster]])</f>
        <v>353541011121314marthadoe</v>
      </c>
      <c r="Q3" s="8">
        <f t="shared" ca="1" si="1"/>
        <v>5.3283583330624773E-2</v>
      </c>
      <c r="R3" s="8">
        <f t="shared" ca="1" si="2"/>
        <v>0.47131591078721669</v>
      </c>
      <c r="S3" s="8">
        <f t="shared" ca="1" si="3"/>
        <v>0.51176195906486843</v>
      </c>
      <c r="T3" s="1">
        <f ca="1">IF(Cruce_ventas_hora[[#This Row],[Duracion_llamada]]="Error",1,0)</f>
        <v>0</v>
      </c>
      <c r="U3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52.366666666666667</v>
      </c>
      <c r="V3" s="1">
        <f ca="1">IFERROR(FLOOR(Cruce_ventas_hora[[#This Row],[Tiempo_total]],5),"Error")</f>
        <v>50</v>
      </c>
      <c r="W3" s="1" t="s">
        <v>24</v>
      </c>
      <c r="X3" s="1">
        <f>IF(Cruce_ventas_hora[[#This Row],[Tipo_venta]]="Sale",1,0)</f>
        <v>1</v>
      </c>
    </row>
    <row r="4" spans="1:24" x14ac:dyDescent="0.35">
      <c r="A4" s="5">
        <v>24477</v>
      </c>
      <c r="B4" s="1" t="s">
        <v>29</v>
      </c>
      <c r="C4" s="1">
        <v>1516171819</v>
      </c>
      <c r="D4" s="1" t="s">
        <v>24</v>
      </c>
      <c r="E4" s="1" t="s">
        <v>46</v>
      </c>
      <c r="F4" s="1" t="s">
        <v>50</v>
      </c>
      <c r="G4" s="1">
        <v>91908988</v>
      </c>
      <c r="H4" s="10">
        <v>986968205200</v>
      </c>
      <c r="I4" s="6">
        <f t="shared" si="0"/>
        <v>24477</v>
      </c>
      <c r="J4" s="1">
        <f>_xlfn.NUMBERVALUE(Cruce_ventas_hora[[#This Row],[PhoneNumber]])</f>
        <v>1516171819</v>
      </c>
      <c r="K4" s="1">
        <f>IF(ISNUMBER(Cruce_ventas_hora[[#This Row],[AccountNumber]]),_xlfn.NUMBERVALUE(Cruce_ventas_hora[[#This Row],[AccountNumber]]),Cruce_ventas_hora[[#This Row],[AccountNumber]])</f>
        <v>91908988</v>
      </c>
      <c r="L4" s="7">
        <f>IF(ISNUMBER(Cruce_ventas_hora[[#This Row],[ESIID]]),_xlfn.NUMBERVALUE(Cruce_ventas_hora[[#This Row],[ESIID]]),"Error")</f>
        <v>986968205200</v>
      </c>
      <c r="M4" s="1">
        <f>IF(Cruce_ventas_hora[[#This Row],[Numero]]=Cruce_ventas_hora[[#This Row],[Numero_cuenta]],1,0)</f>
        <v>0</v>
      </c>
      <c r="N4" s="1" t="s">
        <v>38</v>
      </c>
      <c r="O4" s="1" t="str">
        <f>CONCATENATE(Cruce_ventas_hora[[#This Row],[Usuario_ID_Roster]],Cruce_ventas_hora[[#This Row],[Numero]],Cruce_ventas_hora[[#This Row],[Numero_cuenta]],Cruce_ventas_hora[[#This Row],[ESSID]])</f>
        <v>nicholasdoe151617181991908988986968205200</v>
      </c>
      <c r="P4" s="1" t="str">
        <f>CONCATENATE(Cruce_ventas_hora[[#This Row],[Fecha]],Cruce_ventas_hora[[#This Row],[Numero]],Cruce_ventas_hora[[#This Row],[Usuario_ID_Roster]])</f>
        <v>244771516171819nicholasdoe</v>
      </c>
      <c r="Q4" s="8">
        <f t="shared" ca="1" si="1"/>
        <v>6.9705787042791401E-2</v>
      </c>
      <c r="R4" s="8">
        <f t="shared" ca="1" si="2"/>
        <v>0.94465102912097065</v>
      </c>
      <c r="S4" s="8">
        <f t="shared" ca="1" si="3"/>
        <v>0.5704920401510154</v>
      </c>
      <c r="T4" s="1">
        <f ca="1">IF(Cruce_ventas_hora[[#This Row],[Duracion_llamada]]="Error",1,0)</f>
        <v>0</v>
      </c>
      <c r="U4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842.18333333333328</v>
      </c>
      <c r="V4" s="1">
        <f ca="1">IFERROR(FLOOR(Cruce_ventas_hora[[#This Row],[Tiempo_total]],5),"Error")</f>
        <v>840</v>
      </c>
      <c r="W4" s="1" t="s">
        <v>24</v>
      </c>
      <c r="X4" s="1">
        <f>IF(Cruce_ventas_hora[[#This Row],[Tipo_venta]]="Sale",1,0)</f>
        <v>1</v>
      </c>
    </row>
    <row r="5" spans="1:24" x14ac:dyDescent="0.35">
      <c r="A5" s="5">
        <v>37332</v>
      </c>
      <c r="B5" s="1" t="s">
        <v>30</v>
      </c>
      <c r="C5" s="1">
        <v>2021222324</v>
      </c>
      <c r="D5" s="1" t="s">
        <v>26</v>
      </c>
      <c r="E5" s="1" t="s">
        <v>47</v>
      </c>
      <c r="F5" s="1" t="s">
        <v>50</v>
      </c>
      <c r="G5" s="1">
        <v>87868584</v>
      </c>
      <c r="H5" s="10">
        <v>488888731200</v>
      </c>
      <c r="I5" s="6">
        <f t="shared" si="0"/>
        <v>37332</v>
      </c>
      <c r="J5" s="1">
        <f>_xlfn.NUMBERVALUE(Cruce_ventas_hora[[#This Row],[PhoneNumber]])</f>
        <v>2021222324</v>
      </c>
      <c r="K5" s="1">
        <f>IF(ISNUMBER(Cruce_ventas_hora[[#This Row],[AccountNumber]]),_xlfn.NUMBERVALUE(Cruce_ventas_hora[[#This Row],[AccountNumber]]),Cruce_ventas_hora[[#This Row],[AccountNumber]])</f>
        <v>87868584</v>
      </c>
      <c r="L5" s="7">
        <f>IF(ISNUMBER(Cruce_ventas_hora[[#This Row],[ESIID]]),_xlfn.NUMBERVALUE(Cruce_ventas_hora[[#This Row],[ESIID]]),"Error")</f>
        <v>488888731200</v>
      </c>
      <c r="M5" s="1">
        <f>IF(Cruce_ventas_hora[[#This Row],[Numero]]=Cruce_ventas_hora[[#This Row],[Numero_cuenta]],1,0)</f>
        <v>0</v>
      </c>
      <c r="N5" s="1" t="s">
        <v>39</v>
      </c>
      <c r="O5" s="1" t="str">
        <f>CONCATENATE(Cruce_ventas_hora[[#This Row],[Usuario_ID_Roster]],Cruce_ventas_hora[[#This Row],[Numero]],Cruce_ventas_hora[[#This Row],[Numero_cuenta]],Cruce_ventas_hora[[#This Row],[ESSID]])</f>
        <v>richarddoe202122232487868584488888731200</v>
      </c>
      <c r="P5" s="1" t="str">
        <f>CONCATENATE(Cruce_ventas_hora[[#This Row],[Fecha]],Cruce_ventas_hora[[#This Row],[Numero]],Cruce_ventas_hora[[#This Row],[Usuario_ID_Roster]])</f>
        <v>373322021222324richarddoe</v>
      </c>
      <c r="Q5" s="8">
        <f t="shared" ca="1" si="1"/>
        <v>0.31614349208267511</v>
      </c>
      <c r="R5" s="8">
        <f t="shared" ca="1" si="2"/>
        <v>0.94046624210433571</v>
      </c>
      <c r="S5" s="8">
        <f t="shared" ca="1" si="3"/>
        <v>0.13012405597735766</v>
      </c>
      <c r="T5" s="1">
        <f ca="1">IF(Cruce_ventas_hora[[#This Row],[Duracion_llamada]]="Error",1,0)</f>
        <v>0</v>
      </c>
      <c r="U5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556.9</v>
      </c>
      <c r="V5" s="1">
        <f ca="1">IFERROR(FLOOR(Cruce_ventas_hora[[#This Row],[Tiempo_total]],5),"Error")</f>
        <v>555</v>
      </c>
      <c r="W5" s="1" t="s">
        <v>26</v>
      </c>
      <c r="X5" s="1">
        <f>IF(Cruce_ventas_hora[[#This Row],[Tipo_venta]]="Sale",1,0)</f>
        <v>0</v>
      </c>
    </row>
    <row r="6" spans="1:24" x14ac:dyDescent="0.35">
      <c r="A6" s="5">
        <v>37461</v>
      </c>
      <c r="B6" s="1" t="s">
        <v>31</v>
      </c>
      <c r="C6" s="1">
        <v>2526272829</v>
      </c>
      <c r="D6" s="1" t="s">
        <v>24</v>
      </c>
      <c r="E6" s="1" t="s">
        <v>48</v>
      </c>
      <c r="F6" s="1" t="s">
        <v>25</v>
      </c>
      <c r="G6" s="1">
        <v>83828180</v>
      </c>
      <c r="H6" s="10">
        <v>207261234300</v>
      </c>
      <c r="I6" s="6">
        <f t="shared" si="0"/>
        <v>37461</v>
      </c>
      <c r="J6" s="1">
        <f>_xlfn.NUMBERVALUE(Cruce_ventas_hora[[#This Row],[PhoneNumber]])</f>
        <v>2526272829</v>
      </c>
      <c r="K6" s="1">
        <f>IF(ISNUMBER(Cruce_ventas_hora[[#This Row],[AccountNumber]]),_xlfn.NUMBERVALUE(Cruce_ventas_hora[[#This Row],[AccountNumber]]),Cruce_ventas_hora[[#This Row],[AccountNumber]])</f>
        <v>83828180</v>
      </c>
      <c r="L6" s="7">
        <f>IF(ISNUMBER(Cruce_ventas_hora[[#This Row],[ESIID]]),_xlfn.NUMBERVALUE(Cruce_ventas_hora[[#This Row],[ESIID]]),"Error")</f>
        <v>207261234300</v>
      </c>
      <c r="M6" s="1">
        <f>IF(Cruce_ventas_hora[[#This Row],[Numero]]=Cruce_ventas_hora[[#This Row],[Numero_cuenta]],1,0)</f>
        <v>0</v>
      </c>
      <c r="N6" s="1" t="s">
        <v>40</v>
      </c>
      <c r="O6" s="1" t="str">
        <f>CONCATENATE(Cruce_ventas_hora[[#This Row],[Usuario_ID_Roster]],Cruce_ventas_hora[[#This Row],[Numero]],Cruce_ventas_hora[[#This Row],[Numero_cuenta]],Cruce_ventas_hora[[#This Row],[ESSID]])</f>
        <v>anggiedoe252627282983828180207261234300</v>
      </c>
      <c r="P6" s="1" t="str">
        <f>CONCATENATE(Cruce_ventas_hora[[#This Row],[Fecha]],Cruce_ventas_hora[[#This Row],[Numero]],Cruce_ventas_hora[[#This Row],[Usuario_ID_Roster]])</f>
        <v>374612526272829anggiedoe</v>
      </c>
      <c r="Q6" s="8">
        <f t="shared" ca="1" si="1"/>
        <v>9.0240566890324114E-2</v>
      </c>
      <c r="R6" s="8">
        <f t="shared" ca="1" si="2"/>
        <v>0.72394392495105053</v>
      </c>
      <c r="S6" s="8">
        <f t="shared" ca="1" si="3"/>
        <v>0.9940927283594877</v>
      </c>
      <c r="T6" s="1">
        <f ca="1">IF(Cruce_ventas_hora[[#This Row],[Duracion_llamada]]="Error",1,0)</f>
        <v>0</v>
      </c>
      <c r="U6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1163.9166666666667</v>
      </c>
      <c r="V6" s="1">
        <f ca="1">IFERROR(FLOOR(Cruce_ventas_hora[[#This Row],[Tiempo_total]],5),"Error")</f>
        <v>1160</v>
      </c>
      <c r="W6" s="1" t="s">
        <v>24</v>
      </c>
      <c r="X6" s="1">
        <f>IF(Cruce_ventas_hora[[#This Row],[Tipo_venta]]="Sale",1,0)</f>
        <v>1</v>
      </c>
    </row>
    <row r="7" spans="1:24" x14ac:dyDescent="0.35">
      <c r="A7" s="5">
        <v>29570</v>
      </c>
      <c r="B7" s="1" t="s">
        <v>32</v>
      </c>
      <c r="C7" s="1">
        <v>3031323334</v>
      </c>
      <c r="D7" s="1" t="s">
        <v>24</v>
      </c>
      <c r="E7" s="1" t="s">
        <v>45</v>
      </c>
      <c r="F7" s="1" t="s">
        <v>25</v>
      </c>
      <c r="G7" s="1">
        <v>79787776</v>
      </c>
      <c r="H7" s="10">
        <v>301092048300</v>
      </c>
      <c r="I7" s="6">
        <f t="shared" si="0"/>
        <v>29570</v>
      </c>
      <c r="J7" s="1">
        <f>_xlfn.NUMBERVALUE(Cruce_ventas_hora[[#This Row],[PhoneNumber]])</f>
        <v>3031323334</v>
      </c>
      <c r="K7" s="1">
        <f>IF(ISNUMBER(Cruce_ventas_hora[[#This Row],[AccountNumber]]),_xlfn.NUMBERVALUE(Cruce_ventas_hora[[#This Row],[AccountNumber]]),Cruce_ventas_hora[[#This Row],[AccountNumber]])</f>
        <v>79787776</v>
      </c>
      <c r="L7" s="7">
        <f>IF(ISNUMBER(Cruce_ventas_hora[[#This Row],[ESIID]]),_xlfn.NUMBERVALUE(Cruce_ventas_hora[[#This Row],[ESIID]]),"Error")</f>
        <v>301092048300</v>
      </c>
      <c r="M7" s="1">
        <f>IF(Cruce_ventas_hora[[#This Row],[Numero]]=Cruce_ventas_hora[[#This Row],[Numero_cuenta]],1,0)</f>
        <v>0</v>
      </c>
      <c r="N7" s="1" t="s">
        <v>41</v>
      </c>
      <c r="O7" s="1" t="str">
        <f>CONCATENATE(Cruce_ventas_hora[[#This Row],[Usuario_ID_Roster]],Cruce_ventas_hora[[#This Row],[Numero]],Cruce_ventas_hora[[#This Row],[Numero_cuenta]],Cruce_ventas_hora[[#This Row],[ESSID]])</f>
        <v>mikedoe303132333479787776301092048300</v>
      </c>
      <c r="P7" s="1" t="str">
        <f>CONCATENATE(Cruce_ventas_hora[[#This Row],[Fecha]],Cruce_ventas_hora[[#This Row],[Numero]],Cruce_ventas_hora[[#This Row],[Usuario_ID_Roster]])</f>
        <v>295703031323334mikedoe</v>
      </c>
      <c r="Q7" s="8">
        <f t="shared" ca="1" si="1"/>
        <v>0.14385147849995839</v>
      </c>
      <c r="R7" s="8">
        <f t="shared" ca="1" si="2"/>
        <v>6.3398730628606792E-2</v>
      </c>
      <c r="S7" s="8">
        <f t="shared" ca="1" si="3"/>
        <v>0.70986767990803334</v>
      </c>
      <c r="T7" s="1">
        <f ca="1">IF(Cruce_ventas_hora[[#This Row],[Duracion_llamada]]="Error",1,0)</f>
        <v>0</v>
      </c>
      <c r="U7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1320.65</v>
      </c>
      <c r="V7" s="1">
        <f ca="1">IFERROR(FLOOR(Cruce_ventas_hora[[#This Row],[Tiempo_total]],5),"Error")</f>
        <v>1320</v>
      </c>
      <c r="W7" s="1" t="s">
        <v>24</v>
      </c>
      <c r="X7" s="1">
        <f>IF(Cruce_ventas_hora[[#This Row],[Tipo_venta]]="Sale",1,0)</f>
        <v>1</v>
      </c>
    </row>
    <row r="8" spans="1:24" x14ac:dyDescent="0.35">
      <c r="A8" s="5">
        <v>28313</v>
      </c>
      <c r="B8" s="1" t="s">
        <v>33</v>
      </c>
      <c r="C8" s="1">
        <v>3536373839</v>
      </c>
      <c r="D8" s="1" t="s">
        <v>26</v>
      </c>
      <c r="E8" s="1" t="s">
        <v>49</v>
      </c>
      <c r="F8" s="1" t="s">
        <v>50</v>
      </c>
      <c r="G8" s="1">
        <v>75747372</v>
      </c>
      <c r="H8" s="10">
        <v>377471331600</v>
      </c>
      <c r="I8" s="6">
        <f t="shared" si="0"/>
        <v>28313</v>
      </c>
      <c r="J8" s="1">
        <f>_xlfn.NUMBERVALUE(Cruce_ventas_hora[[#This Row],[PhoneNumber]])</f>
        <v>3536373839</v>
      </c>
      <c r="K8" s="1">
        <f>IF(ISNUMBER(Cruce_ventas_hora[[#This Row],[AccountNumber]]),_xlfn.NUMBERVALUE(Cruce_ventas_hora[[#This Row],[AccountNumber]]),Cruce_ventas_hora[[#This Row],[AccountNumber]])</f>
        <v>75747372</v>
      </c>
      <c r="L8" s="7">
        <f>IF(ISNUMBER(Cruce_ventas_hora[[#This Row],[ESIID]]),_xlfn.NUMBERVALUE(Cruce_ventas_hora[[#This Row],[ESIID]]),"Error")</f>
        <v>377471331600</v>
      </c>
      <c r="M8" s="1">
        <f>IF(Cruce_ventas_hora[[#This Row],[Numero]]=Cruce_ventas_hora[[#This Row],[Numero_cuenta]],1,0)</f>
        <v>0</v>
      </c>
      <c r="N8" s="1" t="s">
        <v>42</v>
      </c>
      <c r="O8" s="1" t="str">
        <f>CONCATENATE(Cruce_ventas_hora[[#This Row],[Usuario_ID_Roster]],Cruce_ventas_hora[[#This Row],[Numero]],Cruce_ventas_hora[[#This Row],[Numero_cuenta]],Cruce_ventas_hora[[#This Row],[ESSID]])</f>
        <v>patriciadoe353637383975747372377471331600</v>
      </c>
      <c r="P8" s="1" t="str">
        <f>CONCATENATE(Cruce_ventas_hora[[#This Row],[Fecha]],Cruce_ventas_hora[[#This Row],[Numero]],Cruce_ventas_hora[[#This Row],[Usuario_ID_Roster]])</f>
        <v>283133536373839patriciadoe</v>
      </c>
      <c r="Q8" s="8">
        <f t="shared" ca="1" si="1"/>
        <v>1.6930194946663812E-2</v>
      </c>
      <c r="R8" s="8">
        <f t="shared" ca="1" si="2"/>
        <v>0.25520088201799884</v>
      </c>
      <c r="S8" s="8">
        <f t="shared" ca="1" si="3"/>
        <v>0.82046024251196037</v>
      </c>
      <c r="T8" s="1">
        <f ca="1">IF(Cruce_ventas_hora[[#This Row],[Duracion_llamada]]="Error",1,0)</f>
        <v>0</v>
      </c>
      <c r="U8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133.33333333333334</v>
      </c>
      <c r="V8" s="1">
        <f ca="1">IFERROR(FLOOR(Cruce_ventas_hora[[#This Row],[Tiempo_total]],5),"Error")</f>
        <v>130</v>
      </c>
      <c r="W8" s="1" t="s">
        <v>24</v>
      </c>
      <c r="X8" s="1">
        <f>IF(Cruce_ventas_hora[[#This Row],[Tipo_venta]]="Sale",1,0)</f>
        <v>1</v>
      </c>
    </row>
    <row r="9" spans="1:24" x14ac:dyDescent="0.35">
      <c r="A9" s="5">
        <v>43053</v>
      </c>
      <c r="B9" s="1" t="s">
        <v>34</v>
      </c>
      <c r="C9" s="1">
        <v>4041424344</v>
      </c>
      <c r="D9" s="1" t="s">
        <v>24</v>
      </c>
      <c r="E9" s="1" t="s">
        <v>45</v>
      </c>
      <c r="F9" s="1" t="s">
        <v>25</v>
      </c>
      <c r="G9" s="1">
        <v>71706968</v>
      </c>
      <c r="H9" s="10">
        <v>120462326400</v>
      </c>
      <c r="I9" s="6">
        <f t="shared" si="0"/>
        <v>43053</v>
      </c>
      <c r="J9" s="1">
        <f>_xlfn.NUMBERVALUE(Cruce_ventas_hora[[#This Row],[PhoneNumber]])</f>
        <v>4041424344</v>
      </c>
      <c r="K9" s="1">
        <f>IF(ISNUMBER(Cruce_ventas_hora[[#This Row],[AccountNumber]]),_xlfn.NUMBERVALUE(Cruce_ventas_hora[[#This Row],[AccountNumber]]),Cruce_ventas_hora[[#This Row],[AccountNumber]])</f>
        <v>71706968</v>
      </c>
      <c r="L9" s="7">
        <f>IF(ISNUMBER(Cruce_ventas_hora[[#This Row],[ESIID]]),_xlfn.NUMBERVALUE(Cruce_ventas_hora[[#This Row],[ESIID]]),"Error")</f>
        <v>120462326400</v>
      </c>
      <c r="M9" s="1">
        <f>IF(Cruce_ventas_hora[[#This Row],[Numero]]=Cruce_ventas_hora[[#This Row],[Numero_cuenta]],1,0)</f>
        <v>0</v>
      </c>
      <c r="N9" s="1" t="s">
        <v>43</v>
      </c>
      <c r="O9" s="1" t="str">
        <f>CONCATENATE(Cruce_ventas_hora[[#This Row],[Usuario_ID_Roster]],Cruce_ventas_hora[[#This Row],[Numero]],Cruce_ventas_hora[[#This Row],[Numero_cuenta]],Cruce_ventas_hora[[#This Row],[ESSID]])</f>
        <v>georgedoe404142434471706968120462326400</v>
      </c>
      <c r="P9" s="1" t="str">
        <f>CONCATENATE(Cruce_ventas_hora[[#This Row],[Fecha]],Cruce_ventas_hora[[#This Row],[Numero]],Cruce_ventas_hora[[#This Row],[Usuario_ID_Roster]])</f>
        <v>430534041424344georgedoe</v>
      </c>
      <c r="Q9" s="8">
        <f t="shared" ca="1" si="1"/>
        <v>0.24434227851409884</v>
      </c>
      <c r="R9" s="8">
        <f t="shared" ca="1" si="2"/>
        <v>0.31559673531085097</v>
      </c>
      <c r="S9" s="8">
        <f t="shared" ca="1" si="3"/>
        <v>0.71448636834045032</v>
      </c>
      <c r="T9" s="1">
        <f ca="1">IF(Cruce_ventas_hora[[#This Row],[Duracion_llamada]]="Error",1,0)</f>
        <v>0</v>
      </c>
      <c r="U9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395.16666666666669</v>
      </c>
      <c r="V9" s="1">
        <f ca="1">IFERROR(FLOOR(Cruce_ventas_hora[[#This Row],[Tiempo_total]],5),"Error")</f>
        <v>395</v>
      </c>
      <c r="W9" s="1" t="s">
        <v>26</v>
      </c>
      <c r="X9" s="1">
        <f>IF(Cruce_ventas_hora[[#This Row],[Tipo_venta]]="Sale",1,0)</f>
        <v>0</v>
      </c>
    </row>
    <row r="10" spans="1:24" x14ac:dyDescent="0.35">
      <c r="A10" s="5">
        <v>45870</v>
      </c>
      <c r="B10" s="1" t="s">
        <v>35</v>
      </c>
      <c r="C10" s="1">
        <v>4546474849</v>
      </c>
      <c r="D10" s="1" t="s">
        <v>24</v>
      </c>
      <c r="E10" s="1" t="s">
        <v>45</v>
      </c>
      <c r="F10" s="1" t="s">
        <v>25</v>
      </c>
      <c r="G10" s="1">
        <v>67666564</v>
      </c>
      <c r="H10" s="10">
        <v>381510215800</v>
      </c>
      <c r="I10" s="6">
        <f t="shared" si="0"/>
        <v>45870</v>
      </c>
      <c r="J10" s="1">
        <f>_xlfn.NUMBERVALUE(Cruce_ventas_hora[[#This Row],[PhoneNumber]])</f>
        <v>4546474849</v>
      </c>
      <c r="K10" s="1">
        <f>IF(ISNUMBER(Cruce_ventas_hora[[#This Row],[AccountNumber]]),_xlfn.NUMBERVALUE(Cruce_ventas_hora[[#This Row],[AccountNumber]]),Cruce_ventas_hora[[#This Row],[AccountNumber]])</f>
        <v>67666564</v>
      </c>
      <c r="L10" s="7">
        <f>IF(ISNUMBER(Cruce_ventas_hora[[#This Row],[ESIID]]),_xlfn.NUMBERVALUE(Cruce_ventas_hora[[#This Row],[ESIID]]),"Error")</f>
        <v>381510215800</v>
      </c>
      <c r="M10" s="1">
        <f>IF(Cruce_ventas_hora[[#This Row],[Numero]]=Cruce_ventas_hora[[#This Row],[Numero_cuenta]],1,0)</f>
        <v>0</v>
      </c>
      <c r="N10" s="1" t="s">
        <v>44</v>
      </c>
      <c r="O10" s="1" t="str">
        <f>CONCATENATE(Cruce_ventas_hora[[#This Row],[Usuario_ID_Roster]],Cruce_ventas_hora[[#This Row],[Numero]],Cruce_ventas_hora[[#This Row],[Numero_cuenta]],Cruce_ventas_hora[[#This Row],[ESSID]])</f>
        <v>daviddoe454647484967666564381510215800</v>
      </c>
      <c r="P10" s="1" t="str">
        <f>CONCATENATE(Cruce_ventas_hora[[#This Row],[Fecha]],Cruce_ventas_hora[[#This Row],[Numero]],Cruce_ventas_hora[[#This Row],[Usuario_ID_Roster]])</f>
        <v>458704546474849daviddoe</v>
      </c>
      <c r="Q10" s="8">
        <f t="shared" ca="1" si="1"/>
        <v>0.64362625615466951</v>
      </c>
      <c r="R10" s="8">
        <f t="shared" ca="1" si="2"/>
        <v>0.12702061953459909</v>
      </c>
      <c r="S10" s="8">
        <f t="shared" ca="1" si="3"/>
        <v>0.77506388608512466</v>
      </c>
      <c r="T10" s="1">
        <f ca="1">IF(Cruce_ventas_hora[[#This Row],[Duracion_llamada]]="Error",1,0)</f>
        <v>0</v>
      </c>
      <c r="U10" s="9">
        <f ca="1">IFERROR(HOUR(Cruce_ventas_hora[[#This Row],[Duracion_llamada]]+Cruce_ventas_hora[[#This Row],[Tiempo_espera_llamada]]+Cruce_ventas_hora[[#This Row],[Tiempo_despues_llamada]])*60+MINUTE(Cruce_ventas_hora[[#This Row],[Duracion_llamada]]+Cruce_ventas_hora[[#This Row],[Tiempo_espera_llamada]]+Cruce_ventas_hora[[#This Row],[Tiempo_despues_llamada]])+SECOND(Cruce_ventas_hora[[#This Row],[Duracion_llamada]]+Cruce_ventas_hora[[#This Row],[Tiempo_espera_llamada]]+Cruce_ventas_hora[[#This Row],[Tiempo_despues_llamada]])/60,"Error")</f>
        <v>785.81666666666672</v>
      </c>
      <c r="V10" s="1">
        <f ca="1">IFERROR(FLOOR(Cruce_ventas_hora[[#This Row],[Tiempo_total]],5),"Error")</f>
        <v>785</v>
      </c>
      <c r="W10" s="1" t="s">
        <v>24</v>
      </c>
      <c r="X10" s="1">
        <f>IF(Cruce_ventas_hora[[#This Row],[Tipo_venta]]="Sale",1,0)</f>
        <v>1</v>
      </c>
    </row>
    <row r="11" spans="1:24" x14ac:dyDescent="0.3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x14ac:dyDescent="0.3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x14ac:dyDescent="0.3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x14ac:dyDescent="0.3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x14ac:dyDescent="0.3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x14ac:dyDescent="0.3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</sheetData>
  <sheetProtection algorithmName="SHA-512" hashValue="49eXQaoWPHGaFOfq7YBzRpS2DXa5lLY6DUyuK6kVNWV78EoKDglRD2gszDZW82yJo/gXZKQ6C0Vz70muEuV/Fw==" saltValue="cNdBdw7vpluvJm74mk/Jbw==" spinCount="100000" sheet="1" objects="1" scenarios="1"/>
  <conditionalFormatting sqref="C2:C10">
    <cfRule type="duplicateValues" dxfId="3" priority="5"/>
    <cfRule type="duplicateValues" dxfId="2" priority="6"/>
    <cfRule type="duplicateValues" dxfId="1" priority="7"/>
    <cfRule type="duplicateValues" dxfId="0" priority="8"/>
  </conditionalFormatting>
  <pageMargins left="0.7" right="0.7" top="0.75" bottom="0.75" header="0.3" footer="0.3"/>
  <ignoredErrors>
    <ignoredError sqref="W2:W10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Cruce_ventas_hora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Andrés Gutiérrez Vivius</dc:creator>
  <cp:lastModifiedBy>Alfredo Andrés Gutiérrez Vivius</cp:lastModifiedBy>
  <dcterms:created xsi:type="dcterms:W3CDTF">2026-04-10T20:50:38Z</dcterms:created>
  <dcterms:modified xsi:type="dcterms:W3CDTF">2026-05-14T20:25:02Z</dcterms:modified>
</cp:coreProperties>
</file>